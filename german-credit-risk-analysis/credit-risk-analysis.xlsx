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a0d538a7a53b8e/german-credit-risk-analysis/"/>
    </mc:Choice>
  </mc:AlternateContent>
  <xr:revisionPtr revIDLastSave="377" documentId="8_{C61924A5-A8C6-4D46-BA3D-865247E73D72}" xr6:coauthVersionLast="47" xr6:coauthVersionMax="47" xr10:uidLastSave="{B7A0FE48-7AF7-4B08-A509-581C781D36E4}"/>
  <bookViews>
    <workbookView xWindow="-120" yWindow="-120" windowWidth="19440" windowHeight="11160" activeTab="2" xr2:uid="{156B407B-26D5-4F84-A406-ADA172C850C1}"/>
  </bookViews>
  <sheets>
    <sheet name="german_credit_data" sheetId="2" r:id="rId1"/>
    <sheet name="Functions" sheetId="1" r:id="rId2"/>
    <sheet name="Charts" sheetId="3" r:id="rId3"/>
  </sheets>
  <definedNames>
    <definedName name="ExternalData_1" localSheetId="0" hidden="1">german_credit_data!$A$1:$J$1001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/>
  <c r="B3" i="2" a="1"/>
  <c r="B3" i="2"/>
  <c r="B4" i="2" a="1"/>
  <c r="B4" i="2"/>
  <c r="B5" i="2" a="1"/>
  <c r="B5" i="2"/>
  <c r="B6" i="2" a="1"/>
  <c r="B6" i="2"/>
  <c r="B7" i="2" a="1"/>
  <c r="B7" i="2"/>
  <c r="B8" i="2" a="1"/>
  <c r="B8" i="2"/>
  <c r="B9" i="2" a="1"/>
  <c r="B9" i="2"/>
  <c r="B10" i="2" a="1"/>
  <c r="B10" i="2"/>
  <c r="B11" i="2" a="1"/>
  <c r="B11" i="2"/>
  <c r="B12" i="2" a="1"/>
  <c r="B12" i="2"/>
  <c r="B13" i="2" a="1"/>
  <c r="B13" i="2"/>
  <c r="B14" i="2" a="1"/>
  <c r="B14" i="2"/>
  <c r="B15" i="2" a="1"/>
  <c r="B15" i="2"/>
  <c r="B16" i="2" a="1"/>
  <c r="B16" i="2"/>
  <c r="B17" i="2" a="1"/>
  <c r="B17" i="2"/>
  <c r="B18" i="2" a="1"/>
  <c r="B18" i="2"/>
  <c r="B19" i="2" a="1"/>
  <c r="B19" i="2"/>
  <c r="B20" i="2" a="1"/>
  <c r="B20" i="2"/>
  <c r="B21" i="2" a="1"/>
  <c r="B21" i="2"/>
  <c r="B22" i="2" a="1"/>
  <c r="B22" i="2"/>
  <c r="B23" i="2" a="1"/>
  <c r="B23" i="2"/>
  <c r="B24" i="2" a="1"/>
  <c r="B24" i="2"/>
  <c r="B25" i="2" a="1"/>
  <c r="B25" i="2"/>
  <c r="B26" i="2" a="1"/>
  <c r="B26" i="2"/>
  <c r="B27" i="2" a="1"/>
  <c r="B27" i="2"/>
  <c r="B28" i="2" a="1"/>
  <c r="B28" i="2"/>
  <c r="B29" i="2" a="1"/>
  <c r="B29" i="2"/>
  <c r="B30" i="2" a="1"/>
  <c r="B30" i="2"/>
  <c r="B31" i="2" a="1"/>
  <c r="B31" i="2"/>
  <c r="B32" i="2" a="1"/>
  <c r="B32" i="2"/>
  <c r="B33" i="2" a="1"/>
  <c r="B33" i="2"/>
  <c r="B34" i="2" a="1"/>
  <c r="B34" i="2"/>
  <c r="B35" i="2" a="1"/>
  <c r="B35" i="2"/>
  <c r="B36" i="2" a="1"/>
  <c r="B36" i="2"/>
  <c r="B37" i="2" a="1"/>
  <c r="B37" i="2"/>
  <c r="B38" i="2" a="1"/>
  <c r="B38" i="2"/>
  <c r="B39" i="2" a="1"/>
  <c r="B39" i="2"/>
  <c r="B40" i="2" a="1"/>
  <c r="B40" i="2"/>
  <c r="B41" i="2" a="1"/>
  <c r="B41" i="2"/>
  <c r="B42" i="2" a="1"/>
  <c r="B42" i="2"/>
  <c r="B43" i="2" a="1"/>
  <c r="B43" i="2"/>
  <c r="B44" i="2" a="1"/>
  <c r="B44" i="2"/>
  <c r="B45" i="2" a="1"/>
  <c r="B45" i="2"/>
  <c r="B46" i="2" a="1"/>
  <c r="B46" i="2"/>
  <c r="B47" i="2" a="1"/>
  <c r="B47" i="2"/>
  <c r="B48" i="2" a="1"/>
  <c r="B48" i="2"/>
  <c r="B49" i="2" a="1"/>
  <c r="B49" i="2"/>
  <c r="B50" i="2" a="1"/>
  <c r="B50" i="2"/>
  <c r="B51" i="2" a="1"/>
  <c r="B51" i="2"/>
  <c r="B52" i="2" a="1"/>
  <c r="B52" i="2"/>
  <c r="B53" i="2" a="1"/>
  <c r="B53" i="2"/>
  <c r="B54" i="2" a="1"/>
  <c r="B54" i="2"/>
  <c r="B55" i="2" a="1"/>
  <c r="B55" i="2"/>
  <c r="B56" i="2" a="1"/>
  <c r="B56" i="2"/>
  <c r="B57" i="2" a="1"/>
  <c r="B57" i="2"/>
  <c r="B58" i="2" a="1"/>
  <c r="B58" i="2"/>
  <c r="B59" i="2" a="1"/>
  <c r="B59" i="2"/>
  <c r="B60" i="2" a="1"/>
  <c r="B60" i="2"/>
  <c r="B61" i="2" a="1"/>
  <c r="B61" i="2"/>
  <c r="B62" i="2" a="1"/>
  <c r="B62" i="2"/>
  <c r="B63" i="2" a="1"/>
  <c r="B63" i="2"/>
  <c r="B64" i="2" a="1"/>
  <c r="B64" i="2"/>
  <c r="B65" i="2" a="1"/>
  <c r="B65" i="2"/>
  <c r="B66" i="2" a="1"/>
  <c r="B66" i="2"/>
  <c r="B67" i="2" a="1"/>
  <c r="B67" i="2"/>
  <c r="B68" i="2" a="1"/>
  <c r="B68" i="2"/>
  <c r="B69" i="2" a="1"/>
  <c r="B69" i="2"/>
  <c r="B70" i="2" a="1"/>
  <c r="B70" i="2"/>
  <c r="B71" i="2" a="1"/>
  <c r="B71" i="2"/>
  <c r="B72" i="2" a="1"/>
  <c r="B72" i="2"/>
  <c r="B73" i="2" a="1"/>
  <c r="B73" i="2"/>
  <c r="B74" i="2" a="1"/>
  <c r="B74" i="2"/>
  <c r="B75" i="2" a="1"/>
  <c r="B75" i="2"/>
  <c r="B76" i="2" a="1"/>
  <c r="B76" i="2"/>
  <c r="B77" i="2" a="1"/>
  <c r="B77" i="2"/>
  <c r="B78" i="2" a="1"/>
  <c r="B78" i="2"/>
  <c r="B79" i="2" a="1"/>
  <c r="B79" i="2"/>
  <c r="B80" i="2" a="1"/>
  <c r="B80" i="2"/>
  <c r="B81" i="2" a="1"/>
  <c r="B81" i="2"/>
  <c r="B82" i="2" a="1"/>
  <c r="B82" i="2"/>
  <c r="B83" i="2" a="1"/>
  <c r="B83" i="2"/>
  <c r="B84" i="2" a="1"/>
  <c r="B84" i="2"/>
  <c r="B85" i="2" a="1"/>
  <c r="B85" i="2"/>
  <c r="B86" i="2" a="1"/>
  <c r="B86" i="2"/>
  <c r="B87" i="2" a="1"/>
  <c r="B87" i="2"/>
  <c r="B88" i="2" a="1"/>
  <c r="B88" i="2"/>
  <c r="B89" i="2" a="1"/>
  <c r="B89" i="2"/>
  <c r="B90" i="2" a="1"/>
  <c r="B90" i="2"/>
  <c r="B91" i="2" a="1"/>
  <c r="B91" i="2"/>
  <c r="B92" i="2" a="1"/>
  <c r="B92" i="2"/>
  <c r="B93" i="2" a="1"/>
  <c r="B93" i="2"/>
  <c r="B94" i="2" a="1"/>
  <c r="B94" i="2"/>
  <c r="B95" i="2" a="1"/>
  <c r="B95" i="2"/>
  <c r="B96" i="2" a="1"/>
  <c r="B96" i="2"/>
  <c r="B97" i="2" a="1"/>
  <c r="B97" i="2"/>
  <c r="B98" i="2" a="1"/>
  <c r="B98" i="2"/>
  <c r="B99" i="2" a="1"/>
  <c r="B99" i="2"/>
  <c r="B100" i="2" a="1"/>
  <c r="B100" i="2"/>
  <c r="B101" i="2" a="1"/>
  <c r="B101" i="2"/>
  <c r="B102" i="2" a="1"/>
  <c r="B102" i="2"/>
  <c r="B103" i="2" a="1"/>
  <c r="B103" i="2"/>
  <c r="B104" i="2" a="1"/>
  <c r="B104" i="2"/>
  <c r="B105" i="2" a="1"/>
  <c r="B105" i="2"/>
  <c r="B106" i="2" a="1"/>
  <c r="B106" i="2"/>
  <c r="B107" i="2" a="1"/>
  <c r="B107" i="2"/>
  <c r="B108" i="2" a="1"/>
  <c r="B108" i="2"/>
  <c r="B109" i="2" a="1"/>
  <c r="B109" i="2"/>
  <c r="B110" i="2" a="1"/>
  <c r="B110" i="2"/>
  <c r="B111" i="2" a="1"/>
  <c r="B111" i="2"/>
  <c r="B112" i="2" a="1"/>
  <c r="B112" i="2"/>
  <c r="B113" i="2" a="1"/>
  <c r="B113" i="2"/>
  <c r="B114" i="2" a="1"/>
  <c r="B114" i="2"/>
  <c r="B115" i="2" a="1"/>
  <c r="B115" i="2"/>
  <c r="B116" i="2" a="1"/>
  <c r="B116" i="2"/>
  <c r="B117" i="2" a="1"/>
  <c r="B117" i="2"/>
  <c r="B118" i="2" a="1"/>
  <c r="B118" i="2"/>
  <c r="B119" i="2" a="1"/>
  <c r="B119" i="2"/>
  <c r="B120" i="2" a="1"/>
  <c r="B120" i="2"/>
  <c r="B121" i="2" a="1"/>
  <c r="B121" i="2"/>
  <c r="B122" i="2" a="1"/>
  <c r="B122" i="2"/>
  <c r="B123" i="2" a="1"/>
  <c r="B123" i="2"/>
  <c r="B124" i="2" a="1"/>
  <c r="B124" i="2"/>
  <c r="B125" i="2" a="1"/>
  <c r="B125" i="2"/>
  <c r="B126" i="2" a="1"/>
  <c r="B126" i="2"/>
  <c r="B127" i="2" a="1"/>
  <c r="B127" i="2"/>
  <c r="B128" i="2" a="1"/>
  <c r="B128" i="2"/>
  <c r="B129" i="2" a="1"/>
  <c r="B129" i="2"/>
  <c r="B130" i="2" a="1"/>
  <c r="B130" i="2"/>
  <c r="B131" i="2" a="1"/>
  <c r="B131" i="2"/>
  <c r="B132" i="2" a="1"/>
  <c r="B132" i="2"/>
  <c r="B133" i="2" a="1"/>
  <c r="B133" i="2"/>
  <c r="B134" i="2" a="1"/>
  <c r="B134" i="2"/>
  <c r="B135" i="2" a="1"/>
  <c r="B135" i="2"/>
  <c r="B136" i="2" a="1"/>
  <c r="B136" i="2"/>
  <c r="B137" i="2" a="1"/>
  <c r="B137" i="2"/>
  <c r="B138" i="2" a="1"/>
  <c r="B138" i="2"/>
  <c r="B139" i="2" a="1"/>
  <c r="B139" i="2"/>
  <c r="B140" i="2" a="1"/>
  <c r="B140" i="2"/>
  <c r="B141" i="2" a="1"/>
  <c r="B141" i="2"/>
  <c r="B142" i="2" a="1"/>
  <c r="B142" i="2"/>
  <c r="B143" i="2" a="1"/>
  <c r="B143" i="2"/>
  <c r="B144" i="2" a="1"/>
  <c r="B144" i="2"/>
  <c r="B145" i="2" a="1"/>
  <c r="B145" i="2"/>
  <c r="B146" i="2" a="1"/>
  <c r="B146" i="2"/>
  <c r="B147" i="2" a="1"/>
  <c r="B147" i="2"/>
  <c r="B148" i="2" a="1"/>
  <c r="B148" i="2"/>
  <c r="B149" i="2" a="1"/>
  <c r="B149" i="2"/>
  <c r="B150" i="2" a="1"/>
  <c r="B150" i="2"/>
  <c r="B151" i="2" a="1"/>
  <c r="B151" i="2"/>
  <c r="B152" i="2" a="1"/>
  <c r="B152" i="2"/>
  <c r="B153" i="2" a="1"/>
  <c r="B153" i="2"/>
  <c r="B154" i="2" a="1"/>
  <c r="B154" i="2"/>
  <c r="B155" i="2" a="1"/>
  <c r="B155" i="2"/>
  <c r="B156" i="2" a="1"/>
  <c r="B156" i="2"/>
  <c r="B157" i="2" a="1"/>
  <c r="B157" i="2"/>
  <c r="B158" i="2" a="1"/>
  <c r="B158" i="2"/>
  <c r="B159" i="2" a="1"/>
  <c r="B159" i="2"/>
  <c r="B160" i="2" a="1"/>
  <c r="B160" i="2"/>
  <c r="B161" i="2" a="1"/>
  <c r="B161" i="2"/>
  <c r="B162" i="2" a="1"/>
  <c r="B162" i="2"/>
  <c r="B163" i="2" a="1"/>
  <c r="B163" i="2"/>
  <c r="B164" i="2" a="1"/>
  <c r="B164" i="2"/>
  <c r="B165" i="2" a="1"/>
  <c r="B165" i="2"/>
  <c r="B166" i="2" a="1"/>
  <c r="B166" i="2"/>
  <c r="B167" i="2" a="1"/>
  <c r="B167" i="2"/>
  <c r="B168" i="2" a="1"/>
  <c r="B168" i="2"/>
  <c r="B169" i="2" a="1"/>
  <c r="B169" i="2"/>
  <c r="B170" i="2" a="1"/>
  <c r="B170" i="2"/>
  <c r="B171" i="2" a="1"/>
  <c r="B171" i="2"/>
  <c r="B172" i="2" a="1"/>
  <c r="B172" i="2"/>
  <c r="B173" i="2" a="1"/>
  <c r="B173" i="2"/>
  <c r="B174" i="2" a="1"/>
  <c r="B174" i="2"/>
  <c r="B175" i="2" a="1"/>
  <c r="B175" i="2"/>
  <c r="B176" i="2" a="1"/>
  <c r="B176" i="2"/>
  <c r="B177" i="2" a="1"/>
  <c r="B177" i="2"/>
  <c r="B178" i="2" a="1"/>
  <c r="B178" i="2"/>
  <c r="B179" i="2" a="1"/>
  <c r="B179" i="2"/>
  <c r="B180" i="2" a="1"/>
  <c r="B180" i="2"/>
  <c r="B181" i="2" a="1"/>
  <c r="B181" i="2"/>
  <c r="B182" i="2" a="1"/>
  <c r="B182" i="2"/>
  <c r="B183" i="2" a="1"/>
  <c r="B183" i="2"/>
  <c r="B184" i="2" a="1"/>
  <c r="B184" i="2"/>
  <c r="B185" i="2" a="1"/>
  <c r="B185" i="2"/>
  <c r="B186" i="2" a="1"/>
  <c r="B186" i="2"/>
  <c r="B187" i="2" a="1"/>
  <c r="B187" i="2"/>
  <c r="B188" i="2" a="1"/>
  <c r="B188" i="2"/>
  <c r="B189" i="2" a="1"/>
  <c r="B189" i="2"/>
  <c r="B190" i="2" a="1"/>
  <c r="B190" i="2"/>
  <c r="B191" i="2" a="1"/>
  <c r="B191" i="2"/>
  <c r="B192" i="2" a="1"/>
  <c r="B192" i="2"/>
  <c r="B193" i="2" a="1"/>
  <c r="B193" i="2"/>
  <c r="B194" i="2" a="1"/>
  <c r="B194" i="2"/>
  <c r="B195" i="2" a="1"/>
  <c r="B195" i="2"/>
  <c r="B196" i="2" a="1"/>
  <c r="B196" i="2"/>
  <c r="B197" i="2" a="1"/>
  <c r="B197" i="2"/>
  <c r="B198" i="2" a="1"/>
  <c r="B198" i="2"/>
  <c r="B199" i="2" a="1"/>
  <c r="B199" i="2"/>
  <c r="B200" i="2" a="1"/>
  <c r="B200" i="2"/>
  <c r="B201" i="2" a="1"/>
  <c r="B201" i="2"/>
  <c r="B202" i="2" a="1"/>
  <c r="B202" i="2"/>
  <c r="B203" i="2" a="1"/>
  <c r="B203" i="2"/>
  <c r="B204" i="2" a="1"/>
  <c r="B204" i="2"/>
  <c r="B205" i="2" a="1"/>
  <c r="B205" i="2"/>
  <c r="B206" i="2" a="1"/>
  <c r="B206" i="2"/>
  <c r="B207" i="2" a="1"/>
  <c r="B207" i="2"/>
  <c r="B208" i="2" a="1"/>
  <c r="B208" i="2"/>
  <c r="B209" i="2" a="1"/>
  <c r="B209" i="2"/>
  <c r="B210" i="2" a="1"/>
  <c r="B210" i="2"/>
  <c r="B211" i="2" a="1"/>
  <c r="B211" i="2"/>
  <c r="B212" i="2" a="1"/>
  <c r="B212" i="2"/>
  <c r="B213" i="2" a="1"/>
  <c r="B213" i="2"/>
  <c r="B214" i="2" a="1"/>
  <c r="B214" i="2"/>
  <c r="B215" i="2" a="1"/>
  <c r="B215" i="2"/>
  <c r="B216" i="2" a="1"/>
  <c r="B216" i="2"/>
  <c r="B217" i="2" a="1"/>
  <c r="B217" i="2"/>
  <c r="B218" i="2" a="1"/>
  <c r="B218" i="2"/>
  <c r="B219" i="2" a="1"/>
  <c r="B219" i="2"/>
  <c r="B220" i="2" a="1"/>
  <c r="B220" i="2"/>
  <c r="B221" i="2" a="1"/>
  <c r="B221" i="2"/>
  <c r="B222" i="2" a="1"/>
  <c r="B222" i="2"/>
  <c r="B223" i="2" a="1"/>
  <c r="B223" i="2"/>
  <c r="B224" i="2" a="1"/>
  <c r="B224" i="2"/>
  <c r="B225" i="2" a="1"/>
  <c r="B225" i="2"/>
  <c r="B226" i="2" a="1"/>
  <c r="B226" i="2"/>
  <c r="B227" i="2" a="1"/>
  <c r="B227" i="2"/>
  <c r="B228" i="2" a="1"/>
  <c r="B228" i="2"/>
  <c r="B229" i="2" a="1"/>
  <c r="B229" i="2"/>
  <c r="B230" i="2" a="1"/>
  <c r="B230" i="2"/>
  <c r="B231" i="2" a="1"/>
  <c r="B231" i="2"/>
  <c r="B232" i="2" a="1"/>
  <c r="B232" i="2"/>
  <c r="B233" i="2" a="1"/>
  <c r="B233" i="2"/>
  <c r="B234" i="2" a="1"/>
  <c r="B234" i="2"/>
  <c r="B235" i="2" a="1"/>
  <c r="B235" i="2"/>
  <c r="B236" i="2" a="1"/>
  <c r="B236" i="2"/>
  <c r="B237" i="2" a="1"/>
  <c r="B237" i="2"/>
  <c r="B238" i="2" a="1"/>
  <c r="B238" i="2"/>
  <c r="B239" i="2" a="1"/>
  <c r="B239" i="2"/>
  <c r="B240" i="2" a="1"/>
  <c r="B240" i="2"/>
  <c r="B241" i="2" a="1"/>
  <c r="B241" i="2"/>
  <c r="B242" i="2" a="1"/>
  <c r="B242" i="2"/>
  <c r="B243" i="2" a="1"/>
  <c r="B243" i="2"/>
  <c r="B244" i="2" a="1"/>
  <c r="B244" i="2"/>
  <c r="B245" i="2" a="1"/>
  <c r="B245" i="2"/>
  <c r="B246" i="2" a="1"/>
  <c r="B246" i="2"/>
  <c r="B247" i="2" a="1"/>
  <c r="B247" i="2"/>
  <c r="B248" i="2" a="1"/>
  <c r="B248" i="2"/>
  <c r="B249" i="2" a="1"/>
  <c r="B249" i="2"/>
  <c r="B250" i="2" a="1"/>
  <c r="B250" i="2"/>
  <c r="B251" i="2" a="1"/>
  <c r="B251" i="2"/>
  <c r="B252" i="2" a="1"/>
  <c r="B252" i="2"/>
  <c r="B253" i="2" a="1"/>
  <c r="B253" i="2"/>
  <c r="B254" i="2" a="1"/>
  <c r="B254" i="2"/>
  <c r="B255" i="2" a="1"/>
  <c r="B255" i="2"/>
  <c r="B256" i="2" a="1"/>
  <c r="B256" i="2"/>
  <c r="B257" i="2" a="1"/>
  <c r="B257" i="2"/>
  <c r="B258" i="2" a="1"/>
  <c r="B258" i="2"/>
  <c r="B259" i="2" a="1"/>
  <c r="B259" i="2"/>
  <c r="B260" i="2" a="1"/>
  <c r="B260" i="2"/>
  <c r="B261" i="2" a="1"/>
  <c r="B261" i="2"/>
  <c r="B262" i="2" a="1"/>
  <c r="B262" i="2"/>
  <c r="B263" i="2" a="1"/>
  <c r="B263" i="2"/>
  <c r="B264" i="2" a="1"/>
  <c r="B264" i="2"/>
  <c r="B265" i="2" a="1"/>
  <c r="B265" i="2"/>
  <c r="B266" i="2" a="1"/>
  <c r="B266" i="2"/>
  <c r="B267" i="2" a="1"/>
  <c r="B267" i="2"/>
  <c r="B268" i="2" a="1"/>
  <c r="B268" i="2"/>
  <c r="B269" i="2" a="1"/>
  <c r="B269" i="2"/>
  <c r="B270" i="2" a="1"/>
  <c r="B270" i="2"/>
  <c r="B271" i="2" a="1"/>
  <c r="B271" i="2"/>
  <c r="B272" i="2" a="1"/>
  <c r="B272" i="2"/>
  <c r="B273" i="2" a="1"/>
  <c r="B273" i="2"/>
  <c r="B274" i="2" a="1"/>
  <c r="B274" i="2"/>
  <c r="B275" i="2" a="1"/>
  <c r="B275" i="2"/>
  <c r="B276" i="2" a="1"/>
  <c r="B276" i="2"/>
  <c r="B277" i="2" a="1"/>
  <c r="B277" i="2"/>
  <c r="B278" i="2" a="1"/>
  <c r="B278" i="2"/>
  <c r="B279" i="2" a="1"/>
  <c r="B279" i="2"/>
  <c r="B280" i="2" a="1"/>
  <c r="B280" i="2"/>
  <c r="B281" i="2" a="1"/>
  <c r="B281" i="2"/>
  <c r="B282" i="2" a="1"/>
  <c r="B282" i="2"/>
  <c r="B283" i="2" a="1"/>
  <c r="B283" i="2"/>
  <c r="B284" i="2" a="1"/>
  <c r="B284" i="2"/>
  <c r="B285" i="2" a="1"/>
  <c r="B285" i="2"/>
  <c r="B286" i="2" a="1"/>
  <c r="B286" i="2"/>
  <c r="B287" i="2" a="1"/>
  <c r="B287" i="2"/>
  <c r="B288" i="2" a="1"/>
  <c r="B288" i="2"/>
  <c r="B289" i="2" a="1"/>
  <c r="B289" i="2"/>
  <c r="B290" i="2" a="1"/>
  <c r="B290" i="2"/>
  <c r="B291" i="2" a="1"/>
  <c r="B291" i="2"/>
  <c r="B292" i="2" a="1"/>
  <c r="B292" i="2"/>
  <c r="B293" i="2" a="1"/>
  <c r="B293" i="2"/>
  <c r="B294" i="2" a="1"/>
  <c r="B294" i="2"/>
  <c r="B295" i="2" a="1"/>
  <c r="B295" i="2"/>
  <c r="B296" i="2" a="1"/>
  <c r="B296" i="2"/>
  <c r="B297" i="2" a="1"/>
  <c r="B297" i="2"/>
  <c r="B298" i="2" a="1"/>
  <c r="B298" i="2"/>
  <c r="B299" i="2" a="1"/>
  <c r="B299" i="2"/>
  <c r="B300" i="2" a="1"/>
  <c r="B300" i="2"/>
  <c r="B301" i="2" a="1"/>
  <c r="B301" i="2"/>
  <c r="B302" i="2" a="1"/>
  <c r="B302" i="2"/>
  <c r="B303" i="2" a="1"/>
  <c r="B303" i="2"/>
  <c r="B304" i="2" a="1"/>
  <c r="B304" i="2"/>
  <c r="B305" i="2" a="1"/>
  <c r="B305" i="2"/>
  <c r="B306" i="2" a="1"/>
  <c r="B306" i="2"/>
  <c r="B307" i="2" a="1"/>
  <c r="B307" i="2"/>
  <c r="B308" i="2" a="1"/>
  <c r="B308" i="2"/>
  <c r="B309" i="2" a="1"/>
  <c r="B309" i="2"/>
  <c r="B310" i="2" a="1"/>
  <c r="B310" i="2"/>
  <c r="B311" i="2" a="1"/>
  <c r="B311" i="2"/>
  <c r="B312" i="2" a="1"/>
  <c r="B312" i="2"/>
  <c r="B313" i="2" a="1"/>
  <c r="B313" i="2"/>
  <c r="B314" i="2" a="1"/>
  <c r="B314" i="2"/>
  <c r="B315" i="2" a="1"/>
  <c r="B315" i="2"/>
  <c r="B316" i="2" a="1"/>
  <c r="B316" i="2"/>
  <c r="B317" i="2" a="1"/>
  <c r="B317" i="2"/>
  <c r="B318" i="2" a="1"/>
  <c r="B318" i="2"/>
  <c r="B319" i="2" a="1"/>
  <c r="B319" i="2"/>
  <c r="B320" i="2" a="1"/>
  <c r="B320" i="2"/>
  <c r="B321" i="2" a="1"/>
  <c r="B321" i="2"/>
  <c r="B322" i="2" a="1"/>
  <c r="B322" i="2"/>
  <c r="B323" i="2" a="1"/>
  <c r="B323" i="2"/>
  <c r="B324" i="2" a="1"/>
  <c r="B324" i="2"/>
  <c r="B325" i="2" a="1"/>
  <c r="B325" i="2"/>
  <c r="B326" i="2" a="1"/>
  <c r="B326" i="2"/>
  <c r="B327" i="2" a="1"/>
  <c r="B327" i="2"/>
  <c r="B328" i="2" a="1"/>
  <c r="B328" i="2"/>
  <c r="B329" i="2" a="1"/>
  <c r="B329" i="2"/>
  <c r="B330" i="2" a="1"/>
  <c r="B330" i="2"/>
  <c r="B331" i="2" a="1"/>
  <c r="B331" i="2"/>
  <c r="B332" i="2" a="1"/>
  <c r="B332" i="2"/>
  <c r="B333" i="2" a="1"/>
  <c r="B333" i="2"/>
  <c r="B334" i="2" a="1"/>
  <c r="B334" i="2"/>
  <c r="B335" i="2" a="1"/>
  <c r="B335" i="2"/>
  <c r="B336" i="2" a="1"/>
  <c r="B336" i="2"/>
  <c r="B337" i="2" a="1"/>
  <c r="B337" i="2"/>
  <c r="B338" i="2" a="1"/>
  <c r="B338" i="2"/>
  <c r="B339" i="2" a="1"/>
  <c r="B339" i="2"/>
  <c r="B340" i="2" a="1"/>
  <c r="B340" i="2"/>
  <c r="B341" i="2" a="1"/>
  <c r="B341" i="2"/>
  <c r="B342" i="2" a="1"/>
  <c r="B342" i="2"/>
  <c r="B343" i="2" a="1"/>
  <c r="B343" i="2"/>
  <c r="B344" i="2" a="1"/>
  <c r="B344" i="2"/>
  <c r="B345" i="2" a="1"/>
  <c r="B345" i="2"/>
  <c r="B346" i="2" a="1"/>
  <c r="B346" i="2"/>
  <c r="B347" i="2" a="1"/>
  <c r="B347" i="2"/>
  <c r="B348" i="2" a="1"/>
  <c r="B348" i="2"/>
  <c r="B349" i="2" a="1"/>
  <c r="B349" i="2"/>
  <c r="B350" i="2" a="1"/>
  <c r="B350" i="2"/>
  <c r="B351" i="2" a="1"/>
  <c r="B351" i="2"/>
  <c r="B352" i="2" a="1"/>
  <c r="B352" i="2"/>
  <c r="B353" i="2" a="1"/>
  <c r="B353" i="2"/>
  <c r="B354" i="2" a="1"/>
  <c r="B354" i="2"/>
  <c r="B355" i="2" a="1"/>
  <c r="B355" i="2"/>
  <c r="B356" i="2" a="1"/>
  <c r="B356" i="2"/>
  <c r="B357" i="2" a="1"/>
  <c r="B357" i="2"/>
  <c r="B358" i="2" a="1"/>
  <c r="B358" i="2"/>
  <c r="B359" i="2" a="1"/>
  <c r="B359" i="2"/>
  <c r="B360" i="2" a="1"/>
  <c r="B360" i="2"/>
  <c r="B361" i="2" a="1"/>
  <c r="B361" i="2"/>
  <c r="B362" i="2" a="1"/>
  <c r="B362" i="2"/>
  <c r="B363" i="2" a="1"/>
  <c r="B363" i="2"/>
  <c r="B364" i="2" a="1"/>
  <c r="B364" i="2"/>
  <c r="B365" i="2" a="1"/>
  <c r="B365" i="2"/>
  <c r="B366" i="2" a="1"/>
  <c r="B366" i="2"/>
  <c r="B367" i="2" a="1"/>
  <c r="B367" i="2"/>
  <c r="B368" i="2" a="1"/>
  <c r="B368" i="2"/>
  <c r="B369" i="2" a="1"/>
  <c r="B369" i="2"/>
  <c r="B370" i="2" a="1"/>
  <c r="B370" i="2"/>
  <c r="B371" i="2" a="1"/>
  <c r="B371" i="2"/>
  <c r="B372" i="2" a="1"/>
  <c r="B372" i="2"/>
  <c r="B373" i="2" a="1"/>
  <c r="B373" i="2"/>
  <c r="B374" i="2" a="1"/>
  <c r="B374" i="2"/>
  <c r="B375" i="2" a="1"/>
  <c r="B375" i="2"/>
  <c r="B376" i="2" a="1"/>
  <c r="B376" i="2"/>
  <c r="B377" i="2" a="1"/>
  <c r="B377" i="2"/>
  <c r="B378" i="2" a="1"/>
  <c r="B378" i="2"/>
  <c r="B379" i="2" a="1"/>
  <c r="B379" i="2"/>
  <c r="B380" i="2" a="1"/>
  <c r="B380" i="2"/>
  <c r="B381" i="2" a="1"/>
  <c r="B381" i="2"/>
  <c r="B382" i="2" a="1"/>
  <c r="B382" i="2"/>
  <c r="B383" i="2" a="1"/>
  <c r="B383" i="2"/>
  <c r="B384" i="2" a="1"/>
  <c r="B384" i="2"/>
  <c r="B385" i="2" a="1"/>
  <c r="B385" i="2"/>
  <c r="B386" i="2" a="1"/>
  <c r="B386" i="2"/>
  <c r="B387" i="2" a="1"/>
  <c r="B387" i="2"/>
  <c r="B388" i="2" a="1"/>
  <c r="B388" i="2"/>
  <c r="B389" i="2" a="1"/>
  <c r="B389" i="2"/>
  <c r="B390" i="2" a="1"/>
  <c r="B390" i="2"/>
  <c r="B391" i="2" a="1"/>
  <c r="B391" i="2"/>
  <c r="B392" i="2" a="1"/>
  <c r="B392" i="2"/>
  <c r="B393" i="2" a="1"/>
  <c r="B393" i="2"/>
  <c r="B394" i="2" a="1"/>
  <c r="B394" i="2"/>
  <c r="B395" i="2" a="1"/>
  <c r="B395" i="2"/>
  <c r="B396" i="2" a="1"/>
  <c r="B396" i="2"/>
  <c r="B397" i="2" a="1"/>
  <c r="B397" i="2"/>
  <c r="B398" i="2" a="1"/>
  <c r="B398" i="2"/>
  <c r="B399" i="2" a="1"/>
  <c r="B399" i="2"/>
  <c r="B400" i="2" a="1"/>
  <c r="B400" i="2"/>
  <c r="B401" i="2" a="1"/>
  <c r="B401" i="2"/>
  <c r="B402" i="2" a="1"/>
  <c r="B402" i="2"/>
  <c r="B403" i="2" a="1"/>
  <c r="B403" i="2"/>
  <c r="B404" i="2" a="1"/>
  <c r="B404" i="2"/>
  <c r="B405" i="2" a="1"/>
  <c r="B405" i="2"/>
  <c r="B406" i="2" a="1"/>
  <c r="B406" i="2"/>
  <c r="B407" i="2" a="1"/>
  <c r="B407" i="2"/>
  <c r="B408" i="2" a="1"/>
  <c r="B408" i="2"/>
  <c r="B409" i="2" a="1"/>
  <c r="B409" i="2"/>
  <c r="B410" i="2" a="1"/>
  <c r="B410" i="2"/>
  <c r="B411" i="2" a="1"/>
  <c r="B411" i="2"/>
  <c r="B412" i="2" a="1"/>
  <c r="B412" i="2"/>
  <c r="B413" i="2" a="1"/>
  <c r="B413" i="2"/>
  <c r="B414" i="2" a="1"/>
  <c r="B414" i="2"/>
  <c r="B415" i="2" a="1"/>
  <c r="B415" i="2"/>
  <c r="B416" i="2" a="1"/>
  <c r="B416" i="2"/>
  <c r="B417" i="2" a="1"/>
  <c r="B417" i="2"/>
  <c r="B418" i="2" a="1"/>
  <c r="B418" i="2"/>
  <c r="B419" i="2" a="1"/>
  <c r="B419" i="2"/>
  <c r="B420" i="2" a="1"/>
  <c r="B420" i="2"/>
  <c r="B421" i="2" a="1"/>
  <c r="B421" i="2"/>
  <c r="B422" i="2" a="1"/>
  <c r="B422" i="2"/>
  <c r="B423" i="2" a="1"/>
  <c r="B423" i="2"/>
  <c r="B424" i="2" a="1"/>
  <c r="B424" i="2"/>
  <c r="B425" i="2" a="1"/>
  <c r="B425" i="2"/>
  <c r="B426" i="2" a="1"/>
  <c r="B426" i="2"/>
  <c r="B427" i="2" a="1"/>
  <c r="B427" i="2"/>
  <c r="B428" i="2" a="1"/>
  <c r="B428" i="2"/>
  <c r="B429" i="2" a="1"/>
  <c r="B429" i="2"/>
  <c r="B430" i="2" a="1"/>
  <c r="B430" i="2"/>
  <c r="B431" i="2" a="1"/>
  <c r="B431" i="2"/>
  <c r="B432" i="2" a="1"/>
  <c r="B432" i="2"/>
  <c r="B433" i="2" a="1"/>
  <c r="B433" i="2"/>
  <c r="B434" i="2" a="1"/>
  <c r="B434" i="2"/>
  <c r="B435" i="2" a="1"/>
  <c r="B435" i="2"/>
  <c r="B436" i="2" a="1"/>
  <c r="B436" i="2"/>
  <c r="B437" i="2" a="1"/>
  <c r="B437" i="2"/>
  <c r="B438" i="2" a="1"/>
  <c r="B438" i="2"/>
  <c r="B439" i="2" a="1"/>
  <c r="B439" i="2"/>
  <c r="B440" i="2" a="1"/>
  <c r="B440" i="2"/>
  <c r="B441" i="2" a="1"/>
  <c r="B441" i="2"/>
  <c r="B442" i="2" a="1"/>
  <c r="B442" i="2"/>
  <c r="B443" i="2" a="1"/>
  <c r="B443" i="2"/>
  <c r="B444" i="2" a="1"/>
  <c r="B444" i="2"/>
  <c r="B445" i="2" a="1"/>
  <c r="B445" i="2"/>
  <c r="B446" i="2" a="1"/>
  <c r="B446" i="2"/>
  <c r="B447" i="2" a="1"/>
  <c r="B447" i="2"/>
  <c r="B448" i="2" a="1"/>
  <c r="B448" i="2"/>
  <c r="B449" i="2" a="1"/>
  <c r="B449" i="2"/>
  <c r="B450" i="2" a="1"/>
  <c r="B450" i="2"/>
  <c r="B451" i="2" a="1"/>
  <c r="B451" i="2"/>
  <c r="B452" i="2" a="1"/>
  <c r="B452" i="2"/>
  <c r="B453" i="2" a="1"/>
  <c r="B453" i="2"/>
  <c r="B454" i="2" a="1"/>
  <c r="B454" i="2"/>
  <c r="B455" i="2" a="1"/>
  <c r="B455" i="2"/>
  <c r="B456" i="2" a="1"/>
  <c r="B456" i="2"/>
  <c r="B457" i="2" a="1"/>
  <c r="B457" i="2"/>
  <c r="B458" i="2" a="1"/>
  <c r="B458" i="2"/>
  <c r="B459" i="2" a="1"/>
  <c r="B459" i="2"/>
  <c r="B460" i="2" a="1"/>
  <c r="B460" i="2"/>
  <c r="B461" i="2" a="1"/>
  <c r="B461" i="2"/>
  <c r="B462" i="2" a="1"/>
  <c r="B462" i="2"/>
  <c r="B463" i="2" a="1"/>
  <c r="B463" i="2"/>
  <c r="B464" i="2" a="1"/>
  <c r="B464" i="2"/>
  <c r="B465" i="2" a="1"/>
  <c r="B465" i="2"/>
  <c r="B466" i="2" a="1"/>
  <c r="B466" i="2"/>
  <c r="B467" i="2" a="1"/>
  <c r="B467" i="2"/>
  <c r="B468" i="2" a="1"/>
  <c r="B468" i="2"/>
  <c r="B469" i="2" a="1"/>
  <c r="B469" i="2"/>
  <c r="B470" i="2" a="1"/>
  <c r="B470" i="2"/>
  <c r="B471" i="2" a="1"/>
  <c r="B471" i="2"/>
  <c r="B472" i="2" a="1"/>
  <c r="B472" i="2"/>
  <c r="B473" i="2" a="1"/>
  <c r="B473" i="2"/>
  <c r="B474" i="2" a="1"/>
  <c r="B474" i="2"/>
  <c r="B475" i="2" a="1"/>
  <c r="B475" i="2"/>
  <c r="B476" i="2" a="1"/>
  <c r="B476" i="2"/>
  <c r="B477" i="2" a="1"/>
  <c r="B477" i="2"/>
  <c r="B478" i="2" a="1"/>
  <c r="B478" i="2"/>
  <c r="B479" i="2" a="1"/>
  <c r="B479" i="2"/>
  <c r="B480" i="2" a="1"/>
  <c r="B480" i="2"/>
  <c r="B481" i="2" a="1"/>
  <c r="B481" i="2"/>
  <c r="B482" i="2" a="1"/>
  <c r="B482" i="2"/>
  <c r="B483" i="2" a="1"/>
  <c r="B483" i="2"/>
  <c r="B484" i="2" a="1"/>
  <c r="B484" i="2"/>
  <c r="B485" i="2" a="1"/>
  <c r="B485" i="2"/>
  <c r="B486" i="2" a="1"/>
  <c r="B486" i="2"/>
  <c r="B487" i="2" a="1"/>
  <c r="B487" i="2"/>
  <c r="B488" i="2" a="1"/>
  <c r="B488" i="2"/>
  <c r="B489" i="2" a="1"/>
  <c r="B489" i="2"/>
  <c r="B490" i="2" a="1"/>
  <c r="B490" i="2"/>
  <c r="B491" i="2" a="1"/>
  <c r="B491" i="2"/>
  <c r="B492" i="2" a="1"/>
  <c r="B492" i="2"/>
  <c r="B493" i="2" a="1"/>
  <c r="B493" i="2"/>
  <c r="B494" i="2" a="1"/>
  <c r="B494" i="2"/>
  <c r="B495" i="2" a="1"/>
  <c r="B495" i="2"/>
  <c r="B496" i="2" a="1"/>
  <c r="B496" i="2"/>
  <c r="B497" i="2" a="1"/>
  <c r="B497" i="2"/>
  <c r="B498" i="2" a="1"/>
  <c r="B498" i="2"/>
  <c r="B499" i="2" a="1"/>
  <c r="B499" i="2"/>
  <c r="B500" i="2" a="1"/>
  <c r="B500" i="2"/>
  <c r="B501" i="2" a="1"/>
  <c r="B501" i="2"/>
  <c r="B502" i="2" a="1"/>
  <c r="B502" i="2"/>
  <c r="B503" i="2" a="1"/>
  <c r="B503" i="2"/>
  <c r="B504" i="2" a="1"/>
  <c r="B504" i="2"/>
  <c r="B505" i="2" a="1"/>
  <c r="B505" i="2"/>
  <c r="B506" i="2" a="1"/>
  <c r="B506" i="2"/>
  <c r="B507" i="2" a="1"/>
  <c r="B507" i="2"/>
  <c r="B508" i="2" a="1"/>
  <c r="B508" i="2"/>
  <c r="B509" i="2" a="1"/>
  <c r="B509" i="2"/>
  <c r="B510" i="2" a="1"/>
  <c r="B510" i="2"/>
  <c r="B511" i="2" a="1"/>
  <c r="B511" i="2"/>
  <c r="B512" i="2" a="1"/>
  <c r="B512" i="2"/>
  <c r="B513" i="2" a="1"/>
  <c r="B513" i="2"/>
  <c r="B514" i="2" a="1"/>
  <c r="B514" i="2"/>
  <c r="B515" i="2" a="1"/>
  <c r="B515" i="2"/>
  <c r="B516" i="2" a="1"/>
  <c r="B516" i="2"/>
  <c r="B517" i="2" a="1"/>
  <c r="B517" i="2"/>
  <c r="B518" i="2" a="1"/>
  <c r="B518" i="2"/>
  <c r="B519" i="2" a="1"/>
  <c r="B519" i="2"/>
  <c r="B520" i="2" a="1"/>
  <c r="B520" i="2"/>
  <c r="B521" i="2" a="1"/>
  <c r="B521" i="2"/>
  <c r="B522" i="2" a="1"/>
  <c r="B522" i="2"/>
  <c r="B523" i="2" a="1"/>
  <c r="B523" i="2"/>
  <c r="B524" i="2" a="1"/>
  <c r="B524" i="2"/>
  <c r="B525" i="2" a="1"/>
  <c r="B525" i="2"/>
  <c r="B526" i="2" a="1"/>
  <c r="B526" i="2"/>
  <c r="B527" i="2" a="1"/>
  <c r="B527" i="2"/>
  <c r="B528" i="2" a="1"/>
  <c r="B528" i="2"/>
  <c r="B529" i="2" a="1"/>
  <c r="B529" i="2"/>
  <c r="B530" i="2" a="1"/>
  <c r="B530" i="2"/>
  <c r="B531" i="2" a="1"/>
  <c r="B531" i="2"/>
  <c r="B532" i="2" a="1"/>
  <c r="B532" i="2"/>
  <c r="B533" i="2" a="1"/>
  <c r="B533" i="2"/>
  <c r="B534" i="2" a="1"/>
  <c r="B534" i="2"/>
  <c r="B535" i="2" a="1"/>
  <c r="B535" i="2"/>
  <c r="B536" i="2" a="1"/>
  <c r="B536" i="2"/>
  <c r="B537" i="2" a="1"/>
  <c r="B537" i="2"/>
  <c r="B538" i="2" a="1"/>
  <c r="B538" i="2"/>
  <c r="B539" i="2" a="1"/>
  <c r="B539" i="2"/>
  <c r="B540" i="2" a="1"/>
  <c r="B540" i="2"/>
  <c r="B541" i="2" a="1"/>
  <c r="B541" i="2"/>
  <c r="B542" i="2" a="1"/>
  <c r="B542" i="2"/>
  <c r="B543" i="2" a="1"/>
  <c r="B543" i="2"/>
  <c r="B544" i="2" a="1"/>
  <c r="B544" i="2"/>
  <c r="B545" i="2" a="1"/>
  <c r="B545" i="2"/>
  <c r="B546" i="2" a="1"/>
  <c r="B546" i="2"/>
  <c r="B547" i="2" a="1"/>
  <c r="B547" i="2"/>
  <c r="B548" i="2" a="1"/>
  <c r="B548" i="2"/>
  <c r="B549" i="2" a="1"/>
  <c r="B549" i="2"/>
  <c r="B550" i="2" a="1"/>
  <c r="B550" i="2"/>
  <c r="B551" i="2" a="1"/>
  <c r="B551" i="2"/>
  <c r="B552" i="2" a="1"/>
  <c r="B552" i="2"/>
  <c r="B553" i="2" a="1"/>
  <c r="B553" i="2"/>
  <c r="B554" i="2" a="1"/>
  <c r="B554" i="2"/>
  <c r="B555" i="2" a="1"/>
  <c r="B555" i="2"/>
  <c r="B556" i="2" a="1"/>
  <c r="B556" i="2"/>
  <c r="B557" i="2" a="1"/>
  <c r="B557" i="2"/>
  <c r="B558" i="2" a="1"/>
  <c r="B558" i="2"/>
  <c r="B559" i="2" a="1"/>
  <c r="B559" i="2"/>
  <c r="B560" i="2" a="1"/>
  <c r="B560" i="2"/>
  <c r="B561" i="2" a="1"/>
  <c r="B561" i="2"/>
  <c r="B562" i="2" a="1"/>
  <c r="B562" i="2"/>
  <c r="B563" i="2" a="1"/>
  <c r="B563" i="2"/>
  <c r="B564" i="2" a="1"/>
  <c r="B564" i="2"/>
  <c r="B565" i="2" a="1"/>
  <c r="B565" i="2"/>
  <c r="B566" i="2" a="1"/>
  <c r="B566" i="2"/>
  <c r="B567" i="2" a="1"/>
  <c r="B567" i="2"/>
  <c r="B568" i="2" a="1"/>
  <c r="B568" i="2"/>
  <c r="B569" i="2" a="1"/>
  <c r="B569" i="2"/>
  <c r="B570" i="2" a="1"/>
  <c r="B570" i="2"/>
  <c r="B571" i="2" a="1"/>
  <c r="B571" i="2"/>
  <c r="B572" i="2" a="1"/>
  <c r="B572" i="2"/>
  <c r="B573" i="2" a="1"/>
  <c r="B573" i="2"/>
  <c r="B574" i="2" a="1"/>
  <c r="B574" i="2"/>
  <c r="B575" i="2" a="1"/>
  <c r="B575" i="2"/>
  <c r="B576" i="2" a="1"/>
  <c r="B576" i="2"/>
  <c r="B577" i="2" a="1"/>
  <c r="B577" i="2"/>
  <c r="B578" i="2" a="1"/>
  <c r="B578" i="2"/>
  <c r="B579" i="2" a="1"/>
  <c r="B579" i="2"/>
  <c r="B580" i="2" a="1"/>
  <c r="B580" i="2"/>
  <c r="B581" i="2" a="1"/>
  <c r="B581" i="2"/>
  <c r="B582" i="2" a="1"/>
  <c r="B582" i="2"/>
  <c r="B583" i="2" a="1"/>
  <c r="B583" i="2"/>
  <c r="B584" i="2" a="1"/>
  <c r="B584" i="2"/>
  <c r="B585" i="2" a="1"/>
  <c r="B585" i="2"/>
  <c r="B586" i="2" a="1"/>
  <c r="B586" i="2"/>
  <c r="B587" i="2" a="1"/>
  <c r="B587" i="2"/>
  <c r="B588" i="2" a="1"/>
  <c r="B588" i="2"/>
  <c r="B589" i="2" a="1"/>
  <c r="B589" i="2"/>
  <c r="B590" i="2" a="1"/>
  <c r="B590" i="2"/>
  <c r="B591" i="2" a="1"/>
  <c r="B591" i="2"/>
  <c r="B592" i="2" a="1"/>
  <c r="B592" i="2"/>
  <c r="B593" i="2" a="1"/>
  <c r="B593" i="2"/>
  <c r="B594" i="2" a="1"/>
  <c r="B594" i="2"/>
  <c r="B595" i="2" a="1"/>
  <c r="B595" i="2"/>
  <c r="B596" i="2" a="1"/>
  <c r="B596" i="2"/>
  <c r="B597" i="2" a="1"/>
  <c r="B597" i="2"/>
  <c r="B598" i="2" a="1"/>
  <c r="B598" i="2"/>
  <c r="B599" i="2" a="1"/>
  <c r="B599" i="2"/>
  <c r="B600" i="2" a="1"/>
  <c r="B600" i="2"/>
  <c r="B601" i="2" a="1"/>
  <c r="B601" i="2"/>
  <c r="B602" i="2" a="1"/>
  <c r="B602" i="2"/>
  <c r="B603" i="2" a="1"/>
  <c r="B603" i="2"/>
  <c r="B604" i="2" a="1"/>
  <c r="B604" i="2"/>
  <c r="B605" i="2" a="1"/>
  <c r="B605" i="2"/>
  <c r="B606" i="2" a="1"/>
  <c r="B606" i="2"/>
  <c r="B607" i="2" a="1"/>
  <c r="B607" i="2"/>
  <c r="B608" i="2" a="1"/>
  <c r="B608" i="2"/>
  <c r="B609" i="2" a="1"/>
  <c r="B609" i="2"/>
  <c r="B610" i="2" a="1"/>
  <c r="B610" i="2"/>
  <c r="B611" i="2" a="1"/>
  <c r="B611" i="2"/>
  <c r="B612" i="2" a="1"/>
  <c r="B612" i="2"/>
  <c r="B613" i="2" a="1"/>
  <c r="B613" i="2"/>
  <c r="B614" i="2" a="1"/>
  <c r="B614" i="2"/>
  <c r="B615" i="2" a="1"/>
  <c r="B615" i="2"/>
  <c r="B616" i="2" a="1"/>
  <c r="B616" i="2"/>
  <c r="B617" i="2" a="1"/>
  <c r="B617" i="2"/>
  <c r="B618" i="2" a="1"/>
  <c r="B618" i="2"/>
  <c r="B619" i="2" a="1"/>
  <c r="B619" i="2"/>
  <c r="B620" i="2" a="1"/>
  <c r="B620" i="2"/>
  <c r="B621" i="2" a="1"/>
  <c r="B621" i="2"/>
  <c r="B622" i="2" a="1"/>
  <c r="B622" i="2"/>
  <c r="B623" i="2" a="1"/>
  <c r="B623" i="2"/>
  <c r="B624" i="2" a="1"/>
  <c r="B624" i="2"/>
  <c r="B625" i="2" a="1"/>
  <c r="B625" i="2"/>
  <c r="B626" i="2" a="1"/>
  <c r="B626" i="2"/>
  <c r="B627" i="2" a="1"/>
  <c r="B627" i="2"/>
  <c r="B628" i="2" a="1"/>
  <c r="B628" i="2"/>
  <c r="B629" i="2" a="1"/>
  <c r="B629" i="2"/>
  <c r="B630" i="2" a="1"/>
  <c r="B630" i="2"/>
  <c r="B631" i="2" a="1"/>
  <c r="B631" i="2"/>
  <c r="B632" i="2" a="1"/>
  <c r="B632" i="2"/>
  <c r="B633" i="2" a="1"/>
  <c r="B633" i="2"/>
  <c r="B634" i="2" a="1"/>
  <c r="B634" i="2"/>
  <c r="B635" i="2" a="1"/>
  <c r="B635" i="2"/>
  <c r="B636" i="2" a="1"/>
  <c r="B636" i="2"/>
  <c r="B637" i="2" a="1"/>
  <c r="B637" i="2"/>
  <c r="B638" i="2" a="1"/>
  <c r="B638" i="2"/>
  <c r="B639" i="2" a="1"/>
  <c r="B639" i="2"/>
  <c r="B640" i="2" a="1"/>
  <c r="B640" i="2"/>
  <c r="B641" i="2" a="1"/>
  <c r="B641" i="2"/>
  <c r="B642" i="2" a="1"/>
  <c r="B642" i="2"/>
  <c r="B643" i="2" a="1"/>
  <c r="B643" i="2"/>
  <c r="B644" i="2" a="1"/>
  <c r="B644" i="2"/>
  <c r="B645" i="2" a="1"/>
  <c r="B645" i="2"/>
  <c r="B646" i="2" a="1"/>
  <c r="B646" i="2"/>
  <c r="B647" i="2" a="1"/>
  <c r="B647" i="2"/>
  <c r="B648" i="2" a="1"/>
  <c r="B648" i="2"/>
  <c r="B649" i="2" a="1"/>
  <c r="B649" i="2"/>
  <c r="B650" i="2" a="1"/>
  <c r="B650" i="2"/>
  <c r="B651" i="2" a="1"/>
  <c r="B651" i="2"/>
  <c r="B652" i="2" a="1"/>
  <c r="B652" i="2"/>
  <c r="B653" i="2" a="1"/>
  <c r="B653" i="2"/>
  <c r="B654" i="2" a="1"/>
  <c r="B654" i="2"/>
  <c r="B655" i="2" a="1"/>
  <c r="B655" i="2"/>
  <c r="B656" i="2" a="1"/>
  <c r="B656" i="2"/>
  <c r="B657" i="2" a="1"/>
  <c r="B657" i="2"/>
  <c r="B658" i="2" a="1"/>
  <c r="B658" i="2"/>
  <c r="B659" i="2" a="1"/>
  <c r="B659" i="2"/>
  <c r="B660" i="2" a="1"/>
  <c r="B660" i="2"/>
  <c r="B661" i="2" a="1"/>
  <c r="B661" i="2"/>
  <c r="B662" i="2" a="1"/>
  <c r="B662" i="2"/>
  <c r="B663" i="2" a="1"/>
  <c r="B663" i="2"/>
  <c r="B664" i="2" a="1"/>
  <c r="B664" i="2"/>
  <c r="B665" i="2" a="1"/>
  <c r="B665" i="2"/>
  <c r="B666" i="2" a="1"/>
  <c r="B666" i="2"/>
  <c r="B667" i="2" a="1"/>
  <c r="B667" i="2"/>
  <c r="B668" i="2" a="1"/>
  <c r="B668" i="2"/>
  <c r="B669" i="2" a="1"/>
  <c r="B669" i="2"/>
  <c r="B670" i="2" a="1"/>
  <c r="B670" i="2"/>
  <c r="B671" i="2" a="1"/>
  <c r="B671" i="2"/>
  <c r="B672" i="2" a="1"/>
  <c r="B672" i="2"/>
  <c r="B673" i="2" a="1"/>
  <c r="B673" i="2"/>
  <c r="B674" i="2" a="1"/>
  <c r="B674" i="2"/>
  <c r="B675" i="2" a="1"/>
  <c r="B675" i="2"/>
  <c r="B676" i="2" a="1"/>
  <c r="B676" i="2"/>
  <c r="B677" i="2" a="1"/>
  <c r="B677" i="2"/>
  <c r="B678" i="2" a="1"/>
  <c r="B678" i="2"/>
  <c r="B679" i="2" a="1"/>
  <c r="B679" i="2"/>
  <c r="B680" i="2" a="1"/>
  <c r="B680" i="2"/>
  <c r="B681" i="2" a="1"/>
  <c r="B681" i="2"/>
  <c r="B682" i="2" a="1"/>
  <c r="B682" i="2"/>
  <c r="B683" i="2" a="1"/>
  <c r="B683" i="2"/>
  <c r="B684" i="2" a="1"/>
  <c r="B684" i="2"/>
  <c r="B685" i="2" a="1"/>
  <c r="B685" i="2"/>
  <c r="B686" i="2" a="1"/>
  <c r="B686" i="2"/>
  <c r="B687" i="2" a="1"/>
  <c r="B687" i="2"/>
  <c r="B688" i="2" a="1"/>
  <c r="B688" i="2"/>
  <c r="B689" i="2" a="1"/>
  <c r="B689" i="2"/>
  <c r="B690" i="2" a="1"/>
  <c r="B690" i="2"/>
  <c r="B691" i="2" a="1"/>
  <c r="B691" i="2"/>
  <c r="B692" i="2" a="1"/>
  <c r="B692" i="2"/>
  <c r="B693" i="2" a="1"/>
  <c r="B693" i="2"/>
  <c r="B694" i="2" a="1"/>
  <c r="B694" i="2"/>
  <c r="B695" i="2" a="1"/>
  <c r="B695" i="2"/>
  <c r="B696" i="2" a="1"/>
  <c r="B696" i="2"/>
  <c r="B697" i="2" a="1"/>
  <c r="B697" i="2"/>
  <c r="B698" i="2" a="1"/>
  <c r="B698" i="2"/>
  <c r="B699" i="2" a="1"/>
  <c r="B699" i="2"/>
  <c r="B700" i="2" a="1"/>
  <c r="B700" i="2"/>
  <c r="B701" i="2" a="1"/>
  <c r="B701" i="2"/>
  <c r="B702" i="2" a="1"/>
  <c r="B702" i="2"/>
  <c r="B703" i="2" a="1"/>
  <c r="B703" i="2"/>
  <c r="B704" i="2" a="1"/>
  <c r="B704" i="2"/>
  <c r="B705" i="2" a="1"/>
  <c r="B705" i="2"/>
  <c r="B706" i="2" a="1"/>
  <c r="B706" i="2"/>
  <c r="B707" i="2" a="1"/>
  <c r="B707" i="2"/>
  <c r="B708" i="2" a="1"/>
  <c r="B708" i="2"/>
  <c r="B709" i="2" a="1"/>
  <c r="B709" i="2"/>
  <c r="B710" i="2" a="1"/>
  <c r="B710" i="2"/>
  <c r="B711" i="2" a="1"/>
  <c r="B711" i="2"/>
  <c r="B712" i="2" a="1"/>
  <c r="B712" i="2"/>
  <c r="B713" i="2" a="1"/>
  <c r="B713" i="2"/>
  <c r="B714" i="2" a="1"/>
  <c r="B714" i="2"/>
  <c r="B715" i="2" a="1"/>
  <c r="B715" i="2"/>
  <c r="B716" i="2" a="1"/>
  <c r="B716" i="2"/>
  <c r="B717" i="2" a="1"/>
  <c r="B717" i="2"/>
  <c r="B718" i="2" a="1"/>
  <c r="B718" i="2"/>
  <c r="B719" i="2" a="1"/>
  <c r="B719" i="2"/>
  <c r="B720" i="2" a="1"/>
  <c r="B720" i="2"/>
  <c r="B721" i="2" a="1"/>
  <c r="B721" i="2"/>
  <c r="B722" i="2" a="1"/>
  <c r="B722" i="2"/>
  <c r="B723" i="2" a="1"/>
  <c r="B723" i="2"/>
  <c r="B724" i="2" a="1"/>
  <c r="B724" i="2"/>
  <c r="B725" i="2" a="1"/>
  <c r="B725" i="2"/>
  <c r="B726" i="2" a="1"/>
  <c r="B726" i="2"/>
  <c r="B727" i="2" a="1"/>
  <c r="B727" i="2"/>
  <c r="B728" i="2" a="1"/>
  <c r="B728" i="2"/>
  <c r="B729" i="2" a="1"/>
  <c r="B729" i="2"/>
  <c r="B730" i="2" a="1"/>
  <c r="B730" i="2"/>
  <c r="B731" i="2" a="1"/>
  <c r="B731" i="2"/>
  <c r="B732" i="2" a="1"/>
  <c r="B732" i="2"/>
  <c r="B733" i="2" a="1"/>
  <c r="B733" i="2"/>
  <c r="B734" i="2" a="1"/>
  <c r="B734" i="2"/>
  <c r="B735" i="2" a="1"/>
  <c r="B735" i="2"/>
  <c r="B736" i="2" a="1"/>
  <c r="B736" i="2"/>
  <c r="B737" i="2" a="1"/>
  <c r="B737" i="2"/>
  <c r="B738" i="2" a="1"/>
  <c r="B738" i="2"/>
  <c r="B739" i="2" a="1"/>
  <c r="B739" i="2"/>
  <c r="B740" i="2" a="1"/>
  <c r="B740" i="2"/>
  <c r="B741" i="2" a="1"/>
  <c r="B741" i="2"/>
  <c r="B742" i="2" a="1"/>
  <c r="B742" i="2"/>
  <c r="B743" i="2" a="1"/>
  <c r="B743" i="2"/>
  <c r="B744" i="2" a="1"/>
  <c r="B744" i="2"/>
  <c r="B745" i="2" a="1"/>
  <c r="B745" i="2"/>
  <c r="B746" i="2" a="1"/>
  <c r="B746" i="2"/>
  <c r="B747" i="2" a="1"/>
  <c r="B747" i="2"/>
  <c r="B748" i="2" a="1"/>
  <c r="B748" i="2"/>
  <c r="B749" i="2" a="1"/>
  <c r="B749" i="2"/>
  <c r="B750" i="2" a="1"/>
  <c r="B750" i="2"/>
  <c r="B751" i="2" a="1"/>
  <c r="B751" i="2"/>
  <c r="B752" i="2" a="1"/>
  <c r="B752" i="2"/>
  <c r="B753" i="2" a="1"/>
  <c r="B753" i="2"/>
  <c r="B754" i="2" a="1"/>
  <c r="B754" i="2"/>
  <c r="B755" i="2" a="1"/>
  <c r="B755" i="2"/>
  <c r="B756" i="2" a="1"/>
  <c r="B756" i="2"/>
  <c r="B757" i="2" a="1"/>
  <c r="B757" i="2"/>
  <c r="B758" i="2" a="1"/>
  <c r="B758" i="2"/>
  <c r="B759" i="2" a="1"/>
  <c r="B759" i="2"/>
  <c r="B760" i="2" a="1"/>
  <c r="B760" i="2"/>
  <c r="B761" i="2" a="1"/>
  <c r="B761" i="2"/>
  <c r="B762" i="2" a="1"/>
  <c r="B762" i="2"/>
  <c r="B763" i="2" a="1"/>
  <c r="B763" i="2"/>
  <c r="B764" i="2" a="1"/>
  <c r="B764" i="2"/>
  <c r="B765" i="2" a="1"/>
  <c r="B765" i="2"/>
  <c r="B766" i="2" a="1"/>
  <c r="B766" i="2"/>
  <c r="B767" i="2" a="1"/>
  <c r="B767" i="2"/>
  <c r="B768" i="2" a="1"/>
  <c r="B768" i="2"/>
  <c r="B769" i="2" a="1"/>
  <c r="B769" i="2"/>
  <c r="B770" i="2" a="1"/>
  <c r="B770" i="2"/>
  <c r="B771" i="2" a="1"/>
  <c r="B771" i="2"/>
  <c r="B772" i="2" a="1"/>
  <c r="B772" i="2"/>
  <c r="B773" i="2" a="1"/>
  <c r="B773" i="2"/>
  <c r="B774" i="2" a="1"/>
  <c r="B774" i="2"/>
  <c r="B775" i="2" a="1"/>
  <c r="B775" i="2"/>
  <c r="B776" i="2" a="1"/>
  <c r="B776" i="2"/>
  <c r="B777" i="2" a="1"/>
  <c r="B777" i="2"/>
  <c r="B778" i="2" a="1"/>
  <c r="B778" i="2"/>
  <c r="B779" i="2" a="1"/>
  <c r="B779" i="2"/>
  <c r="B780" i="2" a="1"/>
  <c r="B780" i="2"/>
  <c r="B781" i="2" a="1"/>
  <c r="B781" i="2"/>
  <c r="B782" i="2" a="1"/>
  <c r="B782" i="2"/>
  <c r="B783" i="2" a="1"/>
  <c r="B783" i="2"/>
  <c r="B784" i="2" a="1"/>
  <c r="B784" i="2"/>
  <c r="B785" i="2" a="1"/>
  <c r="B785" i="2"/>
  <c r="B786" i="2" a="1"/>
  <c r="B786" i="2"/>
  <c r="B787" i="2" a="1"/>
  <c r="B787" i="2"/>
  <c r="B788" i="2" a="1"/>
  <c r="B788" i="2"/>
  <c r="B789" i="2" a="1"/>
  <c r="B789" i="2"/>
  <c r="B790" i="2" a="1"/>
  <c r="B790" i="2"/>
  <c r="B791" i="2" a="1"/>
  <c r="B791" i="2"/>
  <c r="B792" i="2" a="1"/>
  <c r="B792" i="2"/>
  <c r="B793" i="2" a="1"/>
  <c r="B793" i="2"/>
  <c r="B794" i="2" a="1"/>
  <c r="B794" i="2"/>
  <c r="B795" i="2" a="1"/>
  <c r="B795" i="2"/>
  <c r="B796" i="2" a="1"/>
  <c r="B796" i="2"/>
  <c r="B797" i="2" a="1"/>
  <c r="B797" i="2"/>
  <c r="B798" i="2" a="1"/>
  <c r="B798" i="2"/>
  <c r="B799" i="2" a="1"/>
  <c r="B799" i="2"/>
  <c r="B800" i="2" a="1"/>
  <c r="B800" i="2"/>
  <c r="B801" i="2" a="1"/>
  <c r="B801" i="2"/>
  <c r="B802" i="2" a="1"/>
  <c r="B802" i="2"/>
  <c r="B803" i="2" a="1"/>
  <c r="B803" i="2"/>
  <c r="B804" i="2" a="1"/>
  <c r="B804" i="2"/>
  <c r="B805" i="2" a="1"/>
  <c r="B805" i="2"/>
  <c r="B806" i="2" a="1"/>
  <c r="B806" i="2"/>
  <c r="B807" i="2" a="1"/>
  <c r="B807" i="2"/>
  <c r="B808" i="2" a="1"/>
  <c r="B808" i="2"/>
  <c r="B809" i="2" a="1"/>
  <c r="B809" i="2"/>
  <c r="B810" i="2" a="1"/>
  <c r="B810" i="2"/>
  <c r="B811" i="2" a="1"/>
  <c r="B811" i="2"/>
  <c r="B812" i="2" a="1"/>
  <c r="B812" i="2"/>
  <c r="B813" i="2" a="1"/>
  <c r="B813" i="2"/>
  <c r="B814" i="2" a="1"/>
  <c r="B814" i="2"/>
  <c r="B815" i="2" a="1"/>
  <c r="B815" i="2"/>
  <c r="B816" i="2" a="1"/>
  <c r="B816" i="2"/>
  <c r="B817" i="2" a="1"/>
  <c r="B817" i="2"/>
  <c r="B818" i="2" a="1"/>
  <c r="B818" i="2"/>
  <c r="B819" i="2" a="1"/>
  <c r="B819" i="2"/>
  <c r="B820" i="2" a="1"/>
  <c r="B820" i="2"/>
  <c r="B821" i="2" a="1"/>
  <c r="B821" i="2"/>
  <c r="B822" i="2" a="1"/>
  <c r="B822" i="2"/>
  <c r="B823" i="2" a="1"/>
  <c r="B823" i="2"/>
  <c r="B824" i="2" a="1"/>
  <c r="B824" i="2"/>
  <c r="B825" i="2" a="1"/>
  <c r="B825" i="2"/>
  <c r="B826" i="2" a="1"/>
  <c r="B826" i="2"/>
  <c r="B827" i="2" a="1"/>
  <c r="B827" i="2"/>
  <c r="B828" i="2" a="1"/>
  <c r="B828" i="2"/>
  <c r="B829" i="2" a="1"/>
  <c r="B829" i="2"/>
  <c r="B830" i="2" a="1"/>
  <c r="B830" i="2"/>
  <c r="B831" i="2" a="1"/>
  <c r="B831" i="2"/>
  <c r="B832" i="2" a="1"/>
  <c r="B832" i="2"/>
  <c r="B833" i="2" a="1"/>
  <c r="B833" i="2"/>
  <c r="B834" i="2" a="1"/>
  <c r="B834" i="2"/>
  <c r="B835" i="2" a="1"/>
  <c r="B835" i="2"/>
  <c r="B836" i="2" a="1"/>
  <c r="B836" i="2"/>
  <c r="B837" i="2" a="1"/>
  <c r="B837" i="2"/>
  <c r="B838" i="2" a="1"/>
  <c r="B838" i="2"/>
  <c r="B839" i="2" a="1"/>
  <c r="B839" i="2"/>
  <c r="B840" i="2" a="1"/>
  <c r="B840" i="2"/>
  <c r="B841" i="2" a="1"/>
  <c r="B841" i="2"/>
  <c r="B842" i="2" a="1"/>
  <c r="B842" i="2"/>
  <c r="B843" i="2" a="1"/>
  <c r="B843" i="2"/>
  <c r="B844" i="2" a="1"/>
  <c r="B844" i="2"/>
  <c r="B845" i="2" a="1"/>
  <c r="B845" i="2"/>
  <c r="B846" i="2" a="1"/>
  <c r="B846" i="2"/>
  <c r="B847" i="2" a="1"/>
  <c r="B847" i="2"/>
  <c r="B848" i="2" a="1"/>
  <c r="B848" i="2"/>
  <c r="B849" i="2" a="1"/>
  <c r="B849" i="2"/>
  <c r="B850" i="2" a="1"/>
  <c r="B850" i="2"/>
  <c r="B851" i="2" a="1"/>
  <c r="B851" i="2"/>
  <c r="B852" i="2" a="1"/>
  <c r="B852" i="2"/>
  <c r="B853" i="2" a="1"/>
  <c r="B853" i="2"/>
  <c r="B854" i="2" a="1"/>
  <c r="B854" i="2"/>
  <c r="B855" i="2" a="1"/>
  <c r="B855" i="2"/>
  <c r="B856" i="2" a="1"/>
  <c r="B856" i="2"/>
  <c r="B857" i="2" a="1"/>
  <c r="B857" i="2"/>
  <c r="B858" i="2" a="1"/>
  <c r="B858" i="2"/>
  <c r="B859" i="2" a="1"/>
  <c r="B859" i="2"/>
  <c r="B860" i="2" a="1"/>
  <c r="B860" i="2"/>
  <c r="B861" i="2" a="1"/>
  <c r="B861" i="2"/>
  <c r="B862" i="2" a="1"/>
  <c r="B862" i="2"/>
  <c r="B863" i="2" a="1"/>
  <c r="B863" i="2"/>
  <c r="B864" i="2" a="1"/>
  <c r="B864" i="2"/>
  <c r="B865" i="2" a="1"/>
  <c r="B865" i="2"/>
  <c r="B866" i="2" a="1"/>
  <c r="B866" i="2"/>
  <c r="B867" i="2" a="1"/>
  <c r="B867" i="2"/>
  <c r="B868" i="2" a="1"/>
  <c r="B868" i="2"/>
  <c r="B869" i="2" a="1"/>
  <c r="B869" i="2"/>
  <c r="B870" i="2" a="1"/>
  <c r="B870" i="2"/>
  <c r="B871" i="2" a="1"/>
  <c r="B871" i="2"/>
  <c r="B872" i="2" a="1"/>
  <c r="B872" i="2"/>
  <c r="B873" i="2" a="1"/>
  <c r="B873" i="2"/>
  <c r="B874" i="2" a="1"/>
  <c r="B874" i="2"/>
  <c r="B875" i="2" a="1"/>
  <c r="B875" i="2"/>
  <c r="B876" i="2" a="1"/>
  <c r="B876" i="2"/>
  <c r="B877" i="2" a="1"/>
  <c r="B877" i="2"/>
  <c r="B878" i="2" a="1"/>
  <c r="B878" i="2"/>
  <c r="B879" i="2" a="1"/>
  <c r="B879" i="2"/>
  <c r="B880" i="2" a="1"/>
  <c r="B880" i="2"/>
  <c r="B881" i="2" a="1"/>
  <c r="B881" i="2"/>
  <c r="B882" i="2" a="1"/>
  <c r="B882" i="2"/>
  <c r="B883" i="2" a="1"/>
  <c r="B883" i="2"/>
  <c r="B884" i="2" a="1"/>
  <c r="B884" i="2"/>
  <c r="B885" i="2" a="1"/>
  <c r="B885" i="2"/>
  <c r="B886" i="2" a="1"/>
  <c r="B886" i="2"/>
  <c r="B887" i="2" a="1"/>
  <c r="B887" i="2"/>
  <c r="B888" i="2" a="1"/>
  <c r="B888" i="2"/>
  <c r="B889" i="2" a="1"/>
  <c r="B889" i="2"/>
  <c r="B890" i="2" a="1"/>
  <c r="B890" i="2"/>
  <c r="B891" i="2" a="1"/>
  <c r="B891" i="2"/>
  <c r="B892" i="2" a="1"/>
  <c r="B892" i="2"/>
  <c r="B893" i="2" a="1"/>
  <c r="B893" i="2"/>
  <c r="B894" i="2" a="1"/>
  <c r="B894" i="2"/>
  <c r="B895" i="2" a="1"/>
  <c r="B895" i="2"/>
  <c r="B896" i="2" a="1"/>
  <c r="B896" i="2"/>
  <c r="B897" i="2" a="1"/>
  <c r="B897" i="2"/>
  <c r="B898" i="2" a="1"/>
  <c r="B898" i="2"/>
  <c r="B899" i="2" a="1"/>
  <c r="B899" i="2"/>
  <c r="B900" i="2" a="1"/>
  <c r="B900" i="2"/>
  <c r="B901" i="2" a="1"/>
  <c r="B901" i="2"/>
  <c r="B902" i="2" a="1"/>
  <c r="B902" i="2"/>
  <c r="B903" i="2" a="1"/>
  <c r="B903" i="2"/>
  <c r="B904" i="2" a="1"/>
  <c r="B904" i="2"/>
  <c r="B905" i="2" a="1"/>
  <c r="B905" i="2"/>
  <c r="B906" i="2" a="1"/>
  <c r="B906" i="2"/>
  <c r="B907" i="2" a="1"/>
  <c r="B907" i="2"/>
  <c r="B908" i="2" a="1"/>
  <c r="B908" i="2"/>
  <c r="B909" i="2" a="1"/>
  <c r="B909" i="2"/>
  <c r="B910" i="2" a="1"/>
  <c r="B910" i="2"/>
  <c r="B911" i="2" a="1"/>
  <c r="B911" i="2"/>
  <c r="B912" i="2" a="1"/>
  <c r="B912" i="2"/>
  <c r="B913" i="2" a="1"/>
  <c r="B913" i="2"/>
  <c r="B914" i="2" a="1"/>
  <c r="B914" i="2"/>
  <c r="B915" i="2" a="1"/>
  <c r="B915" i="2"/>
  <c r="B916" i="2" a="1"/>
  <c r="B916" i="2"/>
  <c r="B917" i="2" a="1"/>
  <c r="B917" i="2"/>
  <c r="B918" i="2" a="1"/>
  <c r="B918" i="2"/>
  <c r="B919" i="2" a="1"/>
  <c r="B919" i="2"/>
  <c r="B920" i="2" a="1"/>
  <c r="B920" i="2"/>
  <c r="B921" i="2" a="1"/>
  <c r="B921" i="2"/>
  <c r="B922" i="2" a="1"/>
  <c r="B922" i="2"/>
  <c r="B923" i="2" a="1"/>
  <c r="B923" i="2"/>
  <c r="B924" i="2" a="1"/>
  <c r="B924" i="2"/>
  <c r="B925" i="2" a="1"/>
  <c r="B925" i="2"/>
  <c r="B926" i="2" a="1"/>
  <c r="B926" i="2"/>
  <c r="B927" i="2" a="1"/>
  <c r="B927" i="2"/>
  <c r="B928" i="2" a="1"/>
  <c r="B928" i="2"/>
  <c r="B929" i="2" a="1"/>
  <c r="B929" i="2"/>
  <c r="B930" i="2" a="1"/>
  <c r="B930" i="2"/>
  <c r="B931" i="2" a="1"/>
  <c r="B931" i="2"/>
  <c r="B932" i="2" a="1"/>
  <c r="B932" i="2"/>
  <c r="B933" i="2" a="1"/>
  <c r="B933" i="2"/>
  <c r="B934" i="2" a="1"/>
  <c r="B934" i="2"/>
  <c r="B935" i="2" a="1"/>
  <c r="B935" i="2"/>
  <c r="B936" i="2" a="1"/>
  <c r="B936" i="2"/>
  <c r="B937" i="2" a="1"/>
  <c r="B937" i="2"/>
  <c r="B938" i="2" a="1"/>
  <c r="B938" i="2"/>
  <c r="B939" i="2" a="1"/>
  <c r="B939" i="2"/>
  <c r="B940" i="2" a="1"/>
  <c r="B940" i="2"/>
  <c r="B941" i="2" a="1"/>
  <c r="B941" i="2"/>
  <c r="B942" i="2" a="1"/>
  <c r="B942" i="2"/>
  <c r="B943" i="2" a="1"/>
  <c r="B943" i="2"/>
  <c r="B944" i="2" a="1"/>
  <c r="B944" i="2"/>
  <c r="B945" i="2" a="1"/>
  <c r="B945" i="2"/>
  <c r="B946" i="2" a="1"/>
  <c r="B946" i="2"/>
  <c r="B947" i="2" a="1"/>
  <c r="B947" i="2"/>
  <c r="B948" i="2" a="1"/>
  <c r="B948" i="2"/>
  <c r="B949" i="2" a="1"/>
  <c r="B949" i="2"/>
  <c r="B950" i="2" a="1"/>
  <c r="B950" i="2"/>
  <c r="B951" i="2" a="1"/>
  <c r="B951" i="2"/>
  <c r="B952" i="2" a="1"/>
  <c r="B952" i="2"/>
  <c r="B953" i="2" a="1"/>
  <c r="B953" i="2"/>
  <c r="B954" i="2" a="1"/>
  <c r="B954" i="2"/>
  <c r="B955" i="2" a="1"/>
  <c r="B955" i="2"/>
  <c r="B956" i="2" a="1"/>
  <c r="B956" i="2"/>
  <c r="B957" i="2" a="1"/>
  <c r="B957" i="2"/>
  <c r="B958" i="2" a="1"/>
  <c r="B958" i="2"/>
  <c r="B959" i="2" a="1"/>
  <c r="B959" i="2"/>
  <c r="B960" i="2" a="1"/>
  <c r="B960" i="2"/>
  <c r="B961" i="2" a="1"/>
  <c r="B961" i="2"/>
  <c r="B962" i="2" a="1"/>
  <c r="B962" i="2"/>
  <c r="B963" i="2" a="1"/>
  <c r="B963" i="2"/>
  <c r="B964" i="2" a="1"/>
  <c r="B964" i="2"/>
  <c r="B965" i="2" a="1"/>
  <c r="B965" i="2"/>
  <c r="B966" i="2" a="1"/>
  <c r="B966" i="2"/>
  <c r="B967" i="2" a="1"/>
  <c r="B967" i="2"/>
  <c r="B968" i="2" a="1"/>
  <c r="B968" i="2"/>
  <c r="B969" i="2" a="1"/>
  <c r="B969" i="2"/>
  <c r="B970" i="2" a="1"/>
  <c r="B970" i="2"/>
  <c r="B971" i="2" a="1"/>
  <c r="B971" i="2"/>
  <c r="B972" i="2" a="1"/>
  <c r="B972" i="2"/>
  <c r="B973" i="2" a="1"/>
  <c r="B973" i="2"/>
  <c r="B974" i="2" a="1"/>
  <c r="B974" i="2"/>
  <c r="B975" i="2" a="1"/>
  <c r="B975" i="2"/>
  <c r="B976" i="2" a="1"/>
  <c r="B976" i="2"/>
  <c r="B977" i="2" a="1"/>
  <c r="B977" i="2"/>
  <c r="B978" i="2" a="1"/>
  <c r="B978" i="2"/>
  <c r="B979" i="2" a="1"/>
  <c r="B979" i="2"/>
  <c r="B980" i="2" a="1"/>
  <c r="B980" i="2"/>
  <c r="B981" i="2" a="1"/>
  <c r="B981" i="2"/>
  <c r="B982" i="2" a="1"/>
  <c r="B982" i="2"/>
  <c r="B983" i="2" a="1"/>
  <c r="B983" i="2"/>
  <c r="B984" i="2" a="1"/>
  <c r="B984" i="2"/>
  <c r="B985" i="2" a="1"/>
  <c r="B985" i="2"/>
  <c r="B986" i="2" a="1"/>
  <c r="B986" i="2"/>
  <c r="B987" i="2" a="1"/>
  <c r="B987" i="2"/>
  <c r="B988" i="2" a="1"/>
  <c r="B988" i="2"/>
  <c r="B989" i="2" a="1"/>
  <c r="B989" i="2"/>
  <c r="B990" i="2" a="1"/>
  <c r="B990" i="2"/>
  <c r="B991" i="2" a="1"/>
  <c r="B991" i="2"/>
  <c r="B992" i="2" a="1"/>
  <c r="B992" i="2"/>
  <c r="B993" i="2" a="1"/>
  <c r="B993" i="2"/>
  <c r="B994" i="2" a="1"/>
  <c r="B994" i="2"/>
  <c r="B995" i="2" a="1"/>
  <c r="B995" i="2"/>
  <c r="B996" i="2" a="1"/>
  <c r="B996" i="2"/>
  <c r="B997" i="2" a="1"/>
  <c r="B997" i="2"/>
  <c r="B998" i="2" a="1"/>
  <c r="B998" i="2"/>
  <c r="B999" i="2" a="1"/>
  <c r="B999" i="2"/>
  <c r="B1000" i="2" a="1"/>
  <c r="B1000" i="2"/>
  <c r="B1001" i="2" a="1"/>
  <c r="B1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I4" i="1" a="1"/>
  <c r="I4" i="1"/>
  <c r="I5" i="1" a="1"/>
  <c r="I5" i="1"/>
  <c r="Q12" i="1"/>
  <c r="Q11" i="1"/>
  <c r="B31" i="1" a="1"/>
  <c r="B21" i="1" a="1"/>
  <c r="B21" i="1"/>
  <c r="P4" i="1" a="1"/>
  <c r="P4" i="1"/>
  <c r="M12" i="2"/>
  <c r="C18" i="1"/>
  <c r="B14" i="1" a="1"/>
  <c r="B14" i="1"/>
  <c r="F14" i="1" s="1"/>
  <c r="B4" i="1" a="1"/>
  <c r="B4" i="1"/>
  <c r="C4" i="1" s="1"/>
  <c r="G21" i="1" l="1" a="1"/>
  <c r="G21" i="1" s="1"/>
  <c r="F21" i="1" a="1"/>
  <c r="F21" i="1" s="1"/>
  <c r="E21" i="1" a="1"/>
  <c r="E21" i="1" s="1"/>
  <c r="D21" i="1" a="1"/>
  <c r="D21" i="1" s="1"/>
  <c r="C21" i="1" a="1"/>
  <c r="C21" i="1" s="1"/>
  <c r="B31" i="1"/>
  <c r="G31" i="1" a="1"/>
  <c r="G31" i="1" s="1"/>
  <c r="F31" i="1" a="1"/>
  <c r="F31" i="1" s="1"/>
  <c r="E31" i="1" a="1"/>
  <c r="E31" i="1" s="1"/>
  <c r="D31" i="1" a="1"/>
  <c r="D31" i="1" s="1"/>
  <c r="C31" i="1" a="1"/>
  <c r="C31" i="1" s="1"/>
  <c r="Q21" i="1"/>
  <c r="Q20" i="1"/>
  <c r="Q19" i="1"/>
  <c r="Q18" i="1"/>
  <c r="Q17" i="1"/>
  <c r="Q22" i="1"/>
  <c r="F4" i="1" a="1"/>
  <c r="F4" i="1" s="1"/>
  <c r="F15" i="1"/>
  <c r="F16" i="1"/>
  <c r="Q13" i="1"/>
  <c r="R12" i="1"/>
  <c r="D4" i="1" a="1"/>
  <c r="D4" i="1" s="1"/>
  <c r="E4" i="1" a="1"/>
  <c r="E4" i="1" s="1"/>
  <c r="C5" i="1"/>
  <c r="C6" i="1"/>
  <c r="C7" i="1"/>
  <c r="C8" i="1"/>
  <c r="C9" i="1"/>
  <c r="C10" i="1"/>
  <c r="C11" i="1"/>
  <c r="D14" i="1" a="1"/>
  <c r="D14" i="1" s="1"/>
  <c r="E14" i="1" a="1"/>
  <c r="E14" i="1" s="1"/>
  <c r="C14" i="1" a="1"/>
  <c r="C14" i="1" s="1"/>
  <c r="R18" i="1" l="1"/>
  <c r="R19" i="1"/>
  <c r="R21" i="1"/>
  <c r="R17" i="1"/>
  <c r="R20" i="1"/>
  <c r="R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6320A4-5086-4F84-B29D-BC28A19A669D}" keepAlive="1" name="Query - german_credit_data" description="Connection to the 'german_credit_data' query in the workbook." type="5" refreshedVersion="8" background="1" saveData="1">
    <dbPr connection="Provider=Microsoft.Mashup.OleDb.1;Data Source=$Workbook$;Location=german_credit_data;Extended Properties=&quot;&quot;" command="SELECT * FROM [german_credit_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<sst xmlns="http://schemas.openxmlformats.org/spreadsheetml/2006/main" count="5080" uniqueCount="51">
  <si>
    <t>Age</t>
  </si>
  <si>
    <t>Sex</t>
  </si>
  <si>
    <t>Job</t>
  </si>
  <si>
    <t>Housing</t>
  </si>
  <si>
    <t>Saving accounts</t>
  </si>
  <si>
    <t>Checking account</t>
  </si>
  <si>
    <t>Credit amount</t>
  </si>
  <si>
    <t>Duration</t>
  </si>
  <si>
    <t>Purpose</t>
  </si>
  <si>
    <t>male</t>
  </si>
  <si>
    <t>own</t>
  </si>
  <si>
    <t>Unknown</t>
  </si>
  <si>
    <t>little</t>
  </si>
  <si>
    <t>radio/TV</t>
  </si>
  <si>
    <t>female</t>
  </si>
  <si>
    <t>moderate</t>
  </si>
  <si>
    <t>education</t>
  </si>
  <si>
    <t>free</t>
  </si>
  <si>
    <t>furniture/equipment</t>
  </si>
  <si>
    <t>car</t>
  </si>
  <si>
    <t>quite rich</t>
  </si>
  <si>
    <t>rent</t>
  </si>
  <si>
    <t>rich</t>
  </si>
  <si>
    <t>business</t>
  </si>
  <si>
    <t>domestic appliances</t>
  </si>
  <si>
    <t>repairs</t>
  </si>
  <si>
    <t>vacation/others</t>
  </si>
  <si>
    <t>Risk</t>
  </si>
  <si>
    <t>Purposes</t>
  </si>
  <si>
    <t>Female</t>
  </si>
  <si>
    <t>Male</t>
  </si>
  <si>
    <t>Clients</t>
  </si>
  <si>
    <t>Credit Amount Average</t>
  </si>
  <si>
    <t>Top 5 Credit Amount</t>
  </si>
  <si>
    <t>High Risk Clients</t>
  </si>
  <si>
    <t>Proportion</t>
  </si>
  <si>
    <t>Total</t>
  </si>
  <si>
    <t>High Risk Clients by Gender</t>
  </si>
  <si>
    <t>Credit Sum by Purpose</t>
  </si>
  <si>
    <t>Credit Sum by Housing</t>
  </si>
  <si>
    <t>Grand Total</t>
  </si>
  <si>
    <t>High</t>
  </si>
  <si>
    <t>Low</t>
  </si>
  <si>
    <t>Age Range</t>
  </si>
  <si>
    <t>18-25</t>
  </si>
  <si>
    <t>36-45</t>
  </si>
  <si>
    <t>46-60</t>
  </si>
  <si>
    <t>26-35</t>
  </si>
  <si>
    <t>60+</t>
  </si>
  <si>
    <t>High Risk Clients by Age Range</t>
  </si>
  <si>
    <t>Count of Credit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</si>
</sst>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€-2]\ * #,##0.00_-;\-[$€-2]\ * #,##0.00_-;_-[$€-2]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1" fillId="2" borderId="2" xfId="0" applyFont="1" applyFill="1" applyBorder="1"/>
    <xf numFmtId="0" fontId="1" fillId="2" borderId="0" xfId="0" applyFont="1" applyFill="1" applyAlignment="1">
      <alignment horizontal="center"/>
    </xf>
    <xf numFmtId="9" fontId="0" fillId="0" borderId="1" xfId="2" applyFont="1" applyBorder="1"/>
    <xf numFmtId="0" fontId="0" fillId="0" borderId="3" xfId="0" applyBorder="1"/>
    <xf numFmtId="0" fontId="0" fillId="3" borderId="1" xfId="0" applyFill="1" applyBorder="1"/>
    <xf numFmtId="164" fontId="0" fillId="0" borderId="1" xfId="1" applyNumberFormat="1" applyFont="1" applyBorder="1"/>
    <xf numFmtId="0" fontId="0" fillId="0" borderId="0" xfId="0" pivotButton="1"/>
    <xf numFmtId="49" fontId="1" fillId="2" borderId="1" xfId="0" applyNumberFormat="1" applyFont="1" applyFill="1" applyBorder="1"/>
    <xf numFmtId="49" fontId="0" fillId="0" borderId="0" xfId="0" applyNumberFormat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0" fillId="4" borderId="1" xfId="0" applyFill="1" applyBorder="1"/>
    <xf numFmtId="0" fontId="1" fillId="2" borderId="5" xfId="0" applyFont="1" applyFill="1" applyBorder="1"/>
    <xf numFmtId="1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1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0" formatCode="General"/>
    </dxf>
    <dxf>
      <numFmt numFmtId="164" formatCode="_-[$€-2]\ * #,##0.00_-;\-[$€-2]\ * #,##0.00_-;_-[$€-2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1.xml"/><Relationship Id="rId10" Type="http://schemas.microsoft.com/office/2017/06/relationships/rdRichValue" Target="richData/rdrichvalue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[credit-risk-analysis.xlsx]Charts!PivotTable2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Charts!$C$9:$C$10</c:f>
              <c:strCache>
                <c:ptCount val="1"/>
                <c:pt idx="0">
                  <c:v>High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43-4F09-8590-C96134251B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43-4F09-8590-C96134251B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43-4F09-8590-C96134251B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43-4F09-8590-C96134251B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C43-4F09-8590-C96134251B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Charts!$B$11:$B$16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Charts!$C$11:$C$16</c:f>
              <c:numCache>
                <c:formatCode>0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9-49A0-802C-F8AD0F9F5ACC}"/>
            </c:ext>
          </c:extLst>
        </c:ser>
        <c:ser>
          <c:idx val="1"/>
          <c:order val="1"/>
          <c:tx>
            <c:strRef>
              <c:f>Charts!$D$9:$D$10</c:f>
              <c:strCache>
                <c:ptCount val="1"/>
                <c:pt idx="0">
                  <c:v>Low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C43-4F09-8590-C96134251B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C43-4F09-8590-C96134251B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C43-4F09-8590-C96134251B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C43-4F09-8590-C96134251B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C43-4F09-8590-C96134251B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Charts!$B$11:$B$16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Charts!$D$11:$D$16</c:f>
              <c:numCache>
                <c:formatCode>0</c:formatCode>
                <c:ptCount val="5"/>
                <c:pt idx="0">
                  <c:v>184</c:v>
                </c:pt>
                <c:pt idx="1">
                  <c:v>387</c:v>
                </c:pt>
                <c:pt idx="2">
                  <c:v>218</c:v>
                </c:pt>
                <c:pt idx="3">
                  <c:v>138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69-49A0-802C-F8AD0F9F5A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[credit-risk-analysis.xlsx]Charts!PivotTable1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Charts!$C$3:$C$4</c:f>
              <c:strCache>
                <c:ptCount val="1"/>
                <c:pt idx="0">
                  <c:v>High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2E-4FE6-9989-674922E4A1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2E-4FE6-9989-674922E4A16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Charts!$C$5:$C$7</c:f>
              <c:numCache>
                <c:formatCode>General</c:formatCode>
                <c:ptCount val="2"/>
                <c:pt idx="0">
                  <c:v>8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C-4B87-BEF8-0BFC808AFC88}"/>
            </c:ext>
          </c:extLst>
        </c:ser>
        <c:ser>
          <c:idx val="1"/>
          <c:order val="1"/>
          <c:tx>
            <c:strRef>
              <c:f>Charts!$D$3:$D$4</c:f>
              <c:strCache>
                <c:ptCount val="1"/>
                <c:pt idx="0">
                  <c:v>Low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2E-4FE6-9989-674922E4A1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22E-4FE6-9989-674922E4A16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Charts!$D$5:$D$7</c:f>
              <c:numCache>
                <c:formatCode>General</c:formatCode>
                <c:ptCount val="2"/>
                <c:pt idx="0">
                  <c:v>302</c:v>
                </c:pt>
                <c:pt idx="1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C-4B87-BEF8-0BFC808AFC88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[credit-risk-analysis.xlsx]Charts!PivotTable3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Charts!$C$18:$C$19</c:f>
              <c:strCache>
                <c:ptCount val="1"/>
                <c:pt idx="0">
                  <c:v>High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DD-464B-83F5-732B3A30A71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5DD-464B-83F5-732B3A30A71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5DD-464B-83F5-732B3A30A71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Charts!$B$20:$B$23</c:f>
              <c:strCache>
                <c:ptCount val="3"/>
                <c:pt idx="0">
                  <c:v>free</c:v>
                </c:pt>
                <c:pt idx="1">
                  <c:v>own</c:v>
                </c:pt>
                <c:pt idx="2">
                  <c:v>rent</c:v>
                </c:pt>
              </c:strCache>
            </c:strRef>
          </c:cat>
          <c:val>
            <c:numRef>
              <c:f>Charts!$C$20:$C$23</c:f>
              <c:numCache>
                <c:formatCode>General</c:formatCode>
                <c:ptCount val="3"/>
                <c:pt idx="0">
                  <c:v>6</c:v>
                </c:pt>
                <c:pt idx="1">
                  <c:v>19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5-4C59-A2C3-6591F0A1C03C}"/>
            </c:ext>
          </c:extLst>
        </c:ser>
        <c:ser>
          <c:idx val="1"/>
          <c:order val="1"/>
          <c:tx>
            <c:strRef>
              <c:f>Charts!$D$18:$D$19</c:f>
              <c:strCache>
                <c:ptCount val="1"/>
                <c:pt idx="0">
                  <c:v>Low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5DD-464B-83F5-732B3A30A71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5DD-464B-83F5-732B3A30A71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5DD-464B-83F5-732B3A30A71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Charts!$B$20:$B$23</c:f>
              <c:strCache>
                <c:ptCount val="3"/>
                <c:pt idx="0">
                  <c:v>free</c:v>
                </c:pt>
                <c:pt idx="1">
                  <c:v>own</c:v>
                </c:pt>
                <c:pt idx="2">
                  <c:v>rent</c:v>
                </c:pt>
              </c:strCache>
            </c:strRef>
          </c:cat>
          <c:val>
            <c:numRef>
              <c:f>Charts!$D$20:$D$23</c:f>
              <c:numCache>
                <c:formatCode>General</c:formatCode>
                <c:ptCount val="3"/>
                <c:pt idx="0">
                  <c:v>102</c:v>
                </c:pt>
                <c:pt idx="1">
                  <c:v>694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35-4C59-A2C3-6591F0A1C03C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342899</xdr:colOff>
      <xdr:row>1</xdr:row>
      <xdr:rowOff>76200</xdr:rowOff>
    </xdr:from>
    <xdr:to>
      <xdr:col>11</xdr:col>
      <xdr:colOff>57150</xdr:colOff>
      <xdr:row>14</xdr:row>
      <xdr:rowOff>19050</xdr:rowOff>
    </xdr:to>
    <xdr:graphicFrame macro="">
      <xdr:nvGraphicFramePr>
        <xdr:cNvPr id="2" name="age_range">
          <a:extLst>
            <a:ext uri="{FF2B5EF4-FFF2-40B4-BE49-F238E27FC236}">
              <a16:creationId xmlns:a16="http://schemas.microsoft.com/office/drawing/2014/main" id="{FECCA5AB-938F-8518-6BF0-D67DE5962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200024</xdr:colOff>
      <xdr:row>1</xdr:row>
      <xdr:rowOff>4763</xdr:rowOff>
    </xdr:from>
    <xdr:to>
      <xdr:col>15</xdr:col>
      <xdr:colOff>169333</xdr:colOff>
      <xdr:row>14</xdr:row>
      <xdr:rowOff>1</xdr:rowOff>
    </xdr:to>
    <xdr:graphicFrame macro="">
      <xdr:nvGraphicFramePr>
        <xdr:cNvPr id="3" name="gender">
          <a:extLst>
            <a:ext uri="{FF2B5EF4-FFF2-40B4-BE49-F238E27FC236}">
              <a16:creationId xmlns:a16="http://schemas.microsoft.com/office/drawing/2014/main" id="{4C3C334B-77A2-E4B6-B54E-2FCF426D7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378883</xdr:colOff>
      <xdr:row>14</xdr:row>
      <xdr:rowOff>50270</xdr:rowOff>
    </xdr:from>
    <xdr:to>
      <xdr:col>9</xdr:col>
      <xdr:colOff>525992</xdr:colOff>
      <xdr:row>25</xdr:row>
      <xdr:rowOff>140758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5FD9E9-DE2F-2241-352B-ECC7AFD3F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issa Alcantara" refreshedDate="45970.653686458332" createdVersion="8" refreshedVersion="8" minRefreshableVersion="3" recordCount="1000" xr:uid="{14CD4984-5AA1-461A-9BDD-E21B7BF4B22D}">
  <cacheSource type="worksheet">
    <worksheetSource name="credit"/>
  </cacheSource>
  <cacheFields count="11">
    <cacheField name="Age" numFmtId="0">
      <sharedItems containsSemiMixedTypes="0" containsString="0" containsNumber="1" containsInteger="1" minValue="19" maxValue="75"/>
    </cacheField>
    <cacheField name="Age Range" numFmtId="49">
      <sharedItems count="5">
        <s v="60+"/>
        <s v="18-25"/>
        <s v="46-60"/>
        <s v="36-45"/>
        <s v="26-35"/>
      </sharedItems>
    </cacheField>
    <cacheField name="Sex" numFmtId="0">
      <sharedItems count="2">
        <s v="male"/>
        <s v="female"/>
      </sharedItems>
    </cacheField>
    <cacheField name="Job" numFmtId="0">
      <sharedItems containsSemiMixedTypes="0" containsString="0" containsNumber="1" containsInteger="1" minValue="0" maxValue="3"/>
    </cacheField>
    <cacheField name="Housing" numFmtId="0">
      <sharedItems count="3">
        <s v="own"/>
        <s v="free"/>
        <s v="rent"/>
      </sharedItems>
    </cacheField>
    <cacheField name="Saving accounts" numFmtId="0">
      <sharedItems/>
    </cacheField>
    <cacheField name="Checking account" numFmtId="0">
      <sharedItems/>
    </cacheField>
    <cacheField name="Credit amount" numFmtId="0">
      <sharedItems containsSemiMixedTypes="0" containsString="0" containsNumber="1" containsInteger="1" minValue="250" maxValue="18424"/>
    </cacheField>
    <cacheField name="Duration" numFmtId="0">
      <sharedItems containsSemiMixedTypes="0" containsString="0" containsNumber="1" containsInteger="1" minValue="4" maxValue="72"/>
    </cacheField>
    <cacheField name="Purpose" numFmtId="0">
      <sharedItems/>
    </cacheField>
    <cacheField name="Risk" numFmtId="0">
      <sharedItems count="2"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67"/>
    <x v="0"/>
    <x v="0"/>
    <n v="2"/>
    <x v="0"/>
    <s v="Unknown"/>
    <s v="little"/>
    <n v="1169"/>
    <n v="6"/>
    <s v="radio/TV"/>
    <x v="0"/>
  </r>
  <r>
    <n v="22"/>
    <x v="1"/>
    <x v="1"/>
    <n v="2"/>
    <x v="0"/>
    <s v="little"/>
    <s v="moderate"/>
    <n v="5951"/>
    <n v="48"/>
    <s v="radio/TV"/>
    <x v="0"/>
  </r>
  <r>
    <n v="49"/>
    <x v="2"/>
    <x v="0"/>
    <n v="1"/>
    <x v="0"/>
    <s v="little"/>
    <s v="Unknown"/>
    <n v="2096"/>
    <n v="12"/>
    <s v="education"/>
    <x v="0"/>
  </r>
  <r>
    <n v="45"/>
    <x v="3"/>
    <x v="0"/>
    <n v="2"/>
    <x v="1"/>
    <s v="little"/>
    <s v="little"/>
    <n v="7882"/>
    <n v="42"/>
    <s v="furniture/equipment"/>
    <x v="0"/>
  </r>
  <r>
    <n v="53"/>
    <x v="2"/>
    <x v="0"/>
    <n v="2"/>
    <x v="1"/>
    <s v="little"/>
    <s v="little"/>
    <n v="4870"/>
    <n v="24"/>
    <s v="car"/>
    <x v="0"/>
  </r>
  <r>
    <n v="35"/>
    <x v="4"/>
    <x v="0"/>
    <n v="1"/>
    <x v="1"/>
    <s v="Unknown"/>
    <s v="Unknown"/>
    <n v="9055"/>
    <n v="36"/>
    <s v="education"/>
    <x v="0"/>
  </r>
  <r>
    <n v="53"/>
    <x v="2"/>
    <x v="0"/>
    <n v="2"/>
    <x v="0"/>
    <s v="quite rich"/>
    <s v="Unknown"/>
    <n v="2835"/>
    <n v="24"/>
    <s v="furniture/equipment"/>
    <x v="0"/>
  </r>
  <r>
    <n v="35"/>
    <x v="4"/>
    <x v="0"/>
    <n v="3"/>
    <x v="2"/>
    <s v="little"/>
    <s v="moderate"/>
    <n v="6948"/>
    <n v="36"/>
    <s v="car"/>
    <x v="0"/>
  </r>
  <r>
    <n v="61"/>
    <x v="0"/>
    <x v="0"/>
    <n v="1"/>
    <x v="0"/>
    <s v="rich"/>
    <s v="Unknown"/>
    <n v="3059"/>
    <n v="12"/>
    <s v="radio/TV"/>
    <x v="0"/>
  </r>
  <r>
    <n v="28"/>
    <x v="4"/>
    <x v="0"/>
    <n v="3"/>
    <x v="0"/>
    <s v="little"/>
    <s v="moderate"/>
    <n v="5234"/>
    <n v="30"/>
    <s v="car"/>
    <x v="0"/>
  </r>
  <r>
    <n v="25"/>
    <x v="1"/>
    <x v="1"/>
    <n v="2"/>
    <x v="2"/>
    <s v="little"/>
    <s v="moderate"/>
    <n v="1295"/>
    <n v="12"/>
    <s v="car"/>
    <x v="0"/>
  </r>
  <r>
    <n v="24"/>
    <x v="1"/>
    <x v="1"/>
    <n v="2"/>
    <x v="2"/>
    <s v="little"/>
    <s v="little"/>
    <n v="4308"/>
    <n v="48"/>
    <s v="business"/>
    <x v="0"/>
  </r>
  <r>
    <n v="22"/>
    <x v="1"/>
    <x v="1"/>
    <n v="2"/>
    <x v="0"/>
    <s v="little"/>
    <s v="moderate"/>
    <n v="1567"/>
    <n v="12"/>
    <s v="radio/TV"/>
    <x v="0"/>
  </r>
  <r>
    <n v="60"/>
    <x v="2"/>
    <x v="0"/>
    <n v="1"/>
    <x v="0"/>
    <s v="little"/>
    <s v="little"/>
    <n v="1199"/>
    <n v="24"/>
    <s v="car"/>
    <x v="0"/>
  </r>
  <r>
    <n v="28"/>
    <x v="4"/>
    <x v="1"/>
    <n v="2"/>
    <x v="2"/>
    <s v="little"/>
    <s v="little"/>
    <n v="1403"/>
    <n v="15"/>
    <s v="car"/>
    <x v="0"/>
  </r>
  <r>
    <n v="32"/>
    <x v="4"/>
    <x v="1"/>
    <n v="1"/>
    <x v="0"/>
    <s v="moderate"/>
    <s v="little"/>
    <n v="1282"/>
    <n v="24"/>
    <s v="radio/TV"/>
    <x v="0"/>
  </r>
  <r>
    <n v="53"/>
    <x v="2"/>
    <x v="0"/>
    <n v="2"/>
    <x v="0"/>
    <s v="Unknown"/>
    <s v="Unknown"/>
    <n v="2424"/>
    <n v="24"/>
    <s v="radio/TV"/>
    <x v="0"/>
  </r>
  <r>
    <n v="25"/>
    <x v="1"/>
    <x v="0"/>
    <n v="2"/>
    <x v="0"/>
    <s v="Unknown"/>
    <s v="little"/>
    <n v="8072"/>
    <n v="30"/>
    <s v="business"/>
    <x v="0"/>
  </r>
  <r>
    <n v="44"/>
    <x v="3"/>
    <x v="1"/>
    <n v="3"/>
    <x v="1"/>
    <s v="little"/>
    <s v="moderate"/>
    <n v="12579"/>
    <n v="24"/>
    <s v="car"/>
    <x v="1"/>
  </r>
  <r>
    <n v="31"/>
    <x v="4"/>
    <x v="0"/>
    <n v="2"/>
    <x v="0"/>
    <s v="quite rich"/>
    <s v="Unknown"/>
    <n v="3430"/>
    <n v="24"/>
    <s v="radio/TV"/>
    <x v="0"/>
  </r>
  <r>
    <n v="48"/>
    <x v="2"/>
    <x v="0"/>
    <n v="2"/>
    <x v="0"/>
    <s v="little"/>
    <s v="Unknown"/>
    <n v="2134"/>
    <n v="9"/>
    <s v="car"/>
    <x v="0"/>
  </r>
  <r>
    <n v="44"/>
    <x v="3"/>
    <x v="0"/>
    <n v="2"/>
    <x v="2"/>
    <s v="quite rich"/>
    <s v="little"/>
    <n v="2647"/>
    <n v="6"/>
    <s v="radio/TV"/>
    <x v="0"/>
  </r>
  <r>
    <n v="48"/>
    <x v="2"/>
    <x v="0"/>
    <n v="1"/>
    <x v="2"/>
    <s v="little"/>
    <s v="little"/>
    <n v="2241"/>
    <n v="10"/>
    <s v="car"/>
    <x v="0"/>
  </r>
  <r>
    <n v="44"/>
    <x v="3"/>
    <x v="0"/>
    <n v="2"/>
    <x v="0"/>
    <s v="moderate"/>
    <s v="moderate"/>
    <n v="1804"/>
    <n v="12"/>
    <s v="car"/>
    <x v="0"/>
  </r>
  <r>
    <n v="26"/>
    <x v="4"/>
    <x v="0"/>
    <n v="2"/>
    <x v="0"/>
    <s v="Unknown"/>
    <s v="Unknown"/>
    <n v="2069"/>
    <n v="10"/>
    <s v="furniture/equipment"/>
    <x v="0"/>
  </r>
  <r>
    <n v="36"/>
    <x v="3"/>
    <x v="0"/>
    <n v="1"/>
    <x v="0"/>
    <s v="little"/>
    <s v="little"/>
    <n v="1374"/>
    <n v="6"/>
    <s v="furniture/equipment"/>
    <x v="0"/>
  </r>
  <r>
    <n v="39"/>
    <x v="3"/>
    <x v="0"/>
    <n v="1"/>
    <x v="0"/>
    <s v="little"/>
    <s v="Unknown"/>
    <n v="426"/>
    <n v="6"/>
    <s v="radio/TV"/>
    <x v="0"/>
  </r>
  <r>
    <n v="42"/>
    <x v="3"/>
    <x v="1"/>
    <n v="2"/>
    <x v="2"/>
    <s v="rich"/>
    <s v="rich"/>
    <n v="409"/>
    <n v="12"/>
    <s v="radio/TV"/>
    <x v="0"/>
  </r>
  <r>
    <n v="34"/>
    <x v="4"/>
    <x v="0"/>
    <n v="2"/>
    <x v="0"/>
    <s v="little"/>
    <s v="moderate"/>
    <n v="2415"/>
    <n v="7"/>
    <s v="radio/TV"/>
    <x v="0"/>
  </r>
  <r>
    <n v="63"/>
    <x v="0"/>
    <x v="0"/>
    <n v="2"/>
    <x v="0"/>
    <s v="little"/>
    <s v="little"/>
    <n v="6836"/>
    <n v="60"/>
    <s v="business"/>
    <x v="0"/>
  </r>
  <r>
    <n v="36"/>
    <x v="3"/>
    <x v="0"/>
    <n v="2"/>
    <x v="0"/>
    <s v="rich"/>
    <s v="moderate"/>
    <n v="1913"/>
    <n v="18"/>
    <s v="business"/>
    <x v="0"/>
  </r>
  <r>
    <n v="27"/>
    <x v="4"/>
    <x v="0"/>
    <n v="2"/>
    <x v="0"/>
    <s v="little"/>
    <s v="little"/>
    <n v="4020"/>
    <n v="24"/>
    <s v="furniture/equipment"/>
    <x v="0"/>
  </r>
  <r>
    <n v="30"/>
    <x v="4"/>
    <x v="0"/>
    <n v="2"/>
    <x v="0"/>
    <s v="moderate"/>
    <s v="moderate"/>
    <n v="5866"/>
    <n v="18"/>
    <s v="car"/>
    <x v="0"/>
  </r>
  <r>
    <n v="57"/>
    <x v="2"/>
    <x v="0"/>
    <n v="1"/>
    <x v="2"/>
    <s v="Unknown"/>
    <s v="Unknown"/>
    <n v="1264"/>
    <n v="12"/>
    <s v="business"/>
    <x v="0"/>
  </r>
  <r>
    <n v="33"/>
    <x v="4"/>
    <x v="1"/>
    <n v="3"/>
    <x v="0"/>
    <s v="little"/>
    <s v="rich"/>
    <n v="1474"/>
    <n v="12"/>
    <s v="furniture/equipment"/>
    <x v="0"/>
  </r>
  <r>
    <n v="25"/>
    <x v="1"/>
    <x v="0"/>
    <n v="1"/>
    <x v="0"/>
    <s v="little"/>
    <s v="moderate"/>
    <n v="4746"/>
    <n v="45"/>
    <s v="radio/TV"/>
    <x v="0"/>
  </r>
  <r>
    <n v="31"/>
    <x v="4"/>
    <x v="0"/>
    <n v="2"/>
    <x v="1"/>
    <s v="little"/>
    <s v="Unknown"/>
    <n v="6110"/>
    <n v="48"/>
    <s v="education"/>
    <x v="0"/>
  </r>
  <r>
    <n v="37"/>
    <x v="3"/>
    <x v="0"/>
    <n v="2"/>
    <x v="0"/>
    <s v="little"/>
    <s v="rich"/>
    <n v="2100"/>
    <n v="18"/>
    <s v="radio/TV"/>
    <x v="0"/>
  </r>
  <r>
    <n v="37"/>
    <x v="3"/>
    <x v="0"/>
    <n v="2"/>
    <x v="0"/>
    <s v="little"/>
    <s v="rich"/>
    <n v="1225"/>
    <n v="10"/>
    <s v="domestic appliances"/>
    <x v="0"/>
  </r>
  <r>
    <n v="24"/>
    <x v="1"/>
    <x v="0"/>
    <n v="2"/>
    <x v="0"/>
    <s v="little"/>
    <s v="moderate"/>
    <n v="458"/>
    <n v="9"/>
    <s v="radio/TV"/>
    <x v="0"/>
  </r>
  <r>
    <n v="30"/>
    <x v="4"/>
    <x v="0"/>
    <n v="3"/>
    <x v="0"/>
    <s v="quite rich"/>
    <s v="Unknown"/>
    <n v="2333"/>
    <n v="30"/>
    <s v="radio/TV"/>
    <x v="0"/>
  </r>
  <r>
    <n v="26"/>
    <x v="4"/>
    <x v="0"/>
    <n v="2"/>
    <x v="0"/>
    <s v="quite rich"/>
    <s v="moderate"/>
    <n v="1158"/>
    <n v="12"/>
    <s v="radio/TV"/>
    <x v="0"/>
  </r>
  <r>
    <n v="44"/>
    <x v="3"/>
    <x v="0"/>
    <n v="1"/>
    <x v="0"/>
    <s v="little"/>
    <s v="moderate"/>
    <n v="6204"/>
    <n v="18"/>
    <s v="repairs"/>
    <x v="0"/>
  </r>
  <r>
    <n v="24"/>
    <x v="1"/>
    <x v="0"/>
    <n v="2"/>
    <x v="2"/>
    <s v="moderate"/>
    <s v="little"/>
    <n v="6187"/>
    <n v="30"/>
    <s v="car"/>
    <x v="0"/>
  </r>
  <r>
    <n v="58"/>
    <x v="2"/>
    <x v="1"/>
    <n v="1"/>
    <x v="1"/>
    <s v="little"/>
    <s v="little"/>
    <n v="6143"/>
    <n v="48"/>
    <s v="car"/>
    <x v="0"/>
  </r>
  <r>
    <n v="35"/>
    <x v="4"/>
    <x v="1"/>
    <n v="3"/>
    <x v="0"/>
    <s v="little"/>
    <s v="Unknown"/>
    <n v="1393"/>
    <n v="11"/>
    <s v="car"/>
    <x v="0"/>
  </r>
  <r>
    <n v="39"/>
    <x v="3"/>
    <x v="0"/>
    <n v="2"/>
    <x v="0"/>
    <s v="quite rich"/>
    <s v="Unknown"/>
    <n v="2299"/>
    <n v="36"/>
    <s v="radio/TV"/>
    <x v="0"/>
  </r>
  <r>
    <n v="23"/>
    <x v="1"/>
    <x v="1"/>
    <n v="0"/>
    <x v="2"/>
    <s v="quite rich"/>
    <s v="little"/>
    <n v="1352"/>
    <n v="6"/>
    <s v="car"/>
    <x v="0"/>
  </r>
  <r>
    <n v="39"/>
    <x v="3"/>
    <x v="0"/>
    <n v="1"/>
    <x v="0"/>
    <s v="little"/>
    <s v="Unknown"/>
    <n v="7228"/>
    <n v="11"/>
    <s v="car"/>
    <x v="0"/>
  </r>
  <r>
    <n v="28"/>
    <x v="4"/>
    <x v="1"/>
    <n v="2"/>
    <x v="0"/>
    <s v="moderate"/>
    <s v="Unknown"/>
    <n v="2073"/>
    <n v="12"/>
    <s v="radio/TV"/>
    <x v="0"/>
  </r>
  <r>
    <n v="29"/>
    <x v="4"/>
    <x v="0"/>
    <n v="1"/>
    <x v="0"/>
    <s v="Unknown"/>
    <s v="moderate"/>
    <n v="2333"/>
    <n v="24"/>
    <s v="furniture/equipment"/>
    <x v="0"/>
  </r>
  <r>
    <n v="30"/>
    <x v="4"/>
    <x v="0"/>
    <n v="3"/>
    <x v="0"/>
    <s v="little"/>
    <s v="moderate"/>
    <n v="5965"/>
    <n v="27"/>
    <s v="car"/>
    <x v="0"/>
  </r>
  <r>
    <n v="25"/>
    <x v="1"/>
    <x v="0"/>
    <n v="2"/>
    <x v="0"/>
    <s v="little"/>
    <s v="Unknown"/>
    <n v="1262"/>
    <n v="12"/>
    <s v="radio/TV"/>
    <x v="0"/>
  </r>
  <r>
    <n v="31"/>
    <x v="4"/>
    <x v="0"/>
    <n v="2"/>
    <x v="0"/>
    <s v="Unknown"/>
    <s v="Unknown"/>
    <n v="3378"/>
    <n v="18"/>
    <s v="car"/>
    <x v="0"/>
  </r>
  <r>
    <n v="57"/>
    <x v="2"/>
    <x v="0"/>
    <n v="2"/>
    <x v="1"/>
    <s v="little"/>
    <s v="moderate"/>
    <n v="2225"/>
    <n v="36"/>
    <s v="car"/>
    <x v="0"/>
  </r>
  <r>
    <n v="26"/>
    <x v="4"/>
    <x v="0"/>
    <n v="1"/>
    <x v="0"/>
    <s v="Unknown"/>
    <s v="Unknown"/>
    <n v="783"/>
    <n v="6"/>
    <s v="car"/>
    <x v="0"/>
  </r>
  <r>
    <n v="52"/>
    <x v="2"/>
    <x v="0"/>
    <n v="3"/>
    <x v="0"/>
    <s v="Unknown"/>
    <s v="moderate"/>
    <n v="6468"/>
    <n v="12"/>
    <s v="radio/TV"/>
    <x v="0"/>
  </r>
  <r>
    <n v="31"/>
    <x v="4"/>
    <x v="1"/>
    <n v="2"/>
    <x v="0"/>
    <s v="little"/>
    <s v="Unknown"/>
    <n v="9566"/>
    <n v="36"/>
    <s v="radio/TV"/>
    <x v="1"/>
  </r>
  <r>
    <n v="23"/>
    <x v="1"/>
    <x v="1"/>
    <n v="3"/>
    <x v="0"/>
    <s v="little"/>
    <s v="rich"/>
    <n v="1961"/>
    <n v="18"/>
    <s v="car"/>
    <x v="0"/>
  </r>
  <r>
    <n v="23"/>
    <x v="1"/>
    <x v="1"/>
    <n v="1"/>
    <x v="2"/>
    <s v="little"/>
    <s v="little"/>
    <n v="6229"/>
    <n v="36"/>
    <s v="furniture/equipment"/>
    <x v="0"/>
  </r>
  <r>
    <n v="27"/>
    <x v="4"/>
    <x v="0"/>
    <n v="2"/>
    <x v="0"/>
    <s v="little"/>
    <s v="moderate"/>
    <n v="1391"/>
    <n v="9"/>
    <s v="business"/>
    <x v="0"/>
  </r>
  <r>
    <n v="50"/>
    <x v="2"/>
    <x v="0"/>
    <n v="2"/>
    <x v="0"/>
    <s v="Unknown"/>
    <s v="moderate"/>
    <n v="1537"/>
    <n v="15"/>
    <s v="radio/TV"/>
    <x v="0"/>
  </r>
  <r>
    <n v="61"/>
    <x v="0"/>
    <x v="0"/>
    <n v="3"/>
    <x v="1"/>
    <s v="little"/>
    <s v="moderate"/>
    <n v="1953"/>
    <n v="36"/>
    <s v="business"/>
    <x v="0"/>
  </r>
  <r>
    <n v="25"/>
    <x v="1"/>
    <x v="0"/>
    <n v="2"/>
    <x v="0"/>
    <s v="little"/>
    <s v="moderate"/>
    <n v="14421"/>
    <n v="48"/>
    <s v="business"/>
    <x v="1"/>
  </r>
  <r>
    <n v="26"/>
    <x v="4"/>
    <x v="1"/>
    <n v="2"/>
    <x v="0"/>
    <s v="little"/>
    <s v="Unknown"/>
    <n v="3181"/>
    <n v="24"/>
    <s v="radio/TV"/>
    <x v="0"/>
  </r>
  <r>
    <n v="48"/>
    <x v="2"/>
    <x v="0"/>
    <n v="2"/>
    <x v="0"/>
    <s v="Unknown"/>
    <s v="Unknown"/>
    <n v="5190"/>
    <n v="27"/>
    <s v="repairs"/>
    <x v="0"/>
  </r>
  <r>
    <n v="29"/>
    <x v="4"/>
    <x v="1"/>
    <n v="2"/>
    <x v="0"/>
    <s v="little"/>
    <s v="Unknown"/>
    <n v="2171"/>
    <n v="12"/>
    <s v="radio/TV"/>
    <x v="0"/>
  </r>
  <r>
    <n v="22"/>
    <x v="1"/>
    <x v="0"/>
    <n v="2"/>
    <x v="0"/>
    <s v="rich"/>
    <s v="moderate"/>
    <n v="1007"/>
    <n v="12"/>
    <s v="car"/>
    <x v="0"/>
  </r>
  <r>
    <n v="37"/>
    <x v="3"/>
    <x v="0"/>
    <n v="2"/>
    <x v="1"/>
    <s v="little"/>
    <s v="Unknown"/>
    <n v="1819"/>
    <n v="36"/>
    <s v="education"/>
    <x v="0"/>
  </r>
  <r>
    <n v="25"/>
    <x v="1"/>
    <x v="1"/>
    <n v="2"/>
    <x v="0"/>
    <s v="Unknown"/>
    <s v="Unknown"/>
    <n v="2394"/>
    <n v="36"/>
    <s v="radio/TV"/>
    <x v="0"/>
  </r>
  <r>
    <n v="30"/>
    <x v="4"/>
    <x v="1"/>
    <n v="2"/>
    <x v="0"/>
    <s v="little"/>
    <s v="Unknown"/>
    <n v="8133"/>
    <n v="36"/>
    <s v="car"/>
    <x v="0"/>
  </r>
  <r>
    <n v="46"/>
    <x v="2"/>
    <x v="0"/>
    <n v="1"/>
    <x v="2"/>
    <s v="Unknown"/>
    <s v="Unknown"/>
    <n v="730"/>
    <n v="7"/>
    <s v="radio/TV"/>
    <x v="0"/>
  </r>
  <r>
    <n v="51"/>
    <x v="2"/>
    <x v="0"/>
    <n v="3"/>
    <x v="1"/>
    <s v="little"/>
    <s v="little"/>
    <n v="1164"/>
    <n v="8"/>
    <s v="vacation/others"/>
    <x v="0"/>
  </r>
  <r>
    <n v="41"/>
    <x v="3"/>
    <x v="1"/>
    <n v="1"/>
    <x v="0"/>
    <s v="little"/>
    <s v="moderate"/>
    <n v="5954"/>
    <n v="42"/>
    <s v="business"/>
    <x v="0"/>
  </r>
  <r>
    <n v="40"/>
    <x v="3"/>
    <x v="0"/>
    <n v="3"/>
    <x v="0"/>
    <s v="Unknown"/>
    <s v="little"/>
    <n v="1977"/>
    <n v="36"/>
    <s v="education"/>
    <x v="0"/>
  </r>
  <r>
    <n v="66"/>
    <x v="0"/>
    <x v="0"/>
    <n v="3"/>
    <x v="1"/>
    <s v="little"/>
    <s v="little"/>
    <n v="1526"/>
    <n v="12"/>
    <s v="car"/>
    <x v="0"/>
  </r>
  <r>
    <n v="34"/>
    <x v="4"/>
    <x v="0"/>
    <n v="2"/>
    <x v="0"/>
    <s v="little"/>
    <s v="little"/>
    <n v="3965"/>
    <n v="42"/>
    <s v="radio/TV"/>
    <x v="0"/>
  </r>
  <r>
    <n v="51"/>
    <x v="2"/>
    <x v="0"/>
    <n v="2"/>
    <x v="0"/>
    <s v="little"/>
    <s v="moderate"/>
    <n v="4771"/>
    <n v="11"/>
    <s v="radio/TV"/>
    <x v="0"/>
  </r>
  <r>
    <n v="39"/>
    <x v="3"/>
    <x v="0"/>
    <n v="1"/>
    <x v="0"/>
    <s v="Unknown"/>
    <s v="Unknown"/>
    <n v="9436"/>
    <n v="54"/>
    <s v="car"/>
    <x v="0"/>
  </r>
  <r>
    <n v="22"/>
    <x v="1"/>
    <x v="0"/>
    <n v="2"/>
    <x v="0"/>
    <s v="little"/>
    <s v="moderate"/>
    <n v="3832"/>
    <n v="30"/>
    <s v="furniture/equipment"/>
    <x v="0"/>
  </r>
  <r>
    <n v="44"/>
    <x v="3"/>
    <x v="1"/>
    <n v="2"/>
    <x v="0"/>
    <s v="Unknown"/>
    <s v="Unknown"/>
    <n v="5943"/>
    <n v="24"/>
    <s v="radio/TV"/>
    <x v="0"/>
  </r>
  <r>
    <n v="47"/>
    <x v="2"/>
    <x v="0"/>
    <n v="2"/>
    <x v="0"/>
    <s v="quite rich"/>
    <s v="Unknown"/>
    <n v="1213"/>
    <n v="15"/>
    <s v="radio/TV"/>
    <x v="0"/>
  </r>
  <r>
    <n v="24"/>
    <x v="1"/>
    <x v="1"/>
    <n v="1"/>
    <x v="2"/>
    <s v="moderate"/>
    <s v="Unknown"/>
    <n v="1568"/>
    <n v="18"/>
    <s v="business"/>
    <x v="0"/>
  </r>
  <r>
    <n v="58"/>
    <x v="2"/>
    <x v="1"/>
    <n v="1"/>
    <x v="0"/>
    <s v="little"/>
    <s v="little"/>
    <n v="1755"/>
    <n v="24"/>
    <s v="vacation/others"/>
    <x v="0"/>
  </r>
  <r>
    <n v="52"/>
    <x v="2"/>
    <x v="0"/>
    <n v="1"/>
    <x v="0"/>
    <s v="little"/>
    <s v="little"/>
    <n v="2315"/>
    <n v="10"/>
    <s v="radio/TV"/>
    <x v="0"/>
  </r>
  <r>
    <n v="29"/>
    <x v="4"/>
    <x v="1"/>
    <n v="3"/>
    <x v="0"/>
    <s v="little"/>
    <s v="Unknown"/>
    <n v="1412"/>
    <n v="12"/>
    <s v="business"/>
    <x v="0"/>
  </r>
  <r>
    <n v="27"/>
    <x v="4"/>
    <x v="1"/>
    <n v="2"/>
    <x v="0"/>
    <s v="little"/>
    <s v="moderate"/>
    <n v="1295"/>
    <n v="18"/>
    <s v="furniture/equipment"/>
    <x v="0"/>
  </r>
  <r>
    <n v="47"/>
    <x v="2"/>
    <x v="0"/>
    <n v="2"/>
    <x v="1"/>
    <s v="moderate"/>
    <s v="moderate"/>
    <n v="12612"/>
    <n v="36"/>
    <s v="education"/>
    <x v="0"/>
  </r>
  <r>
    <n v="30"/>
    <x v="4"/>
    <x v="0"/>
    <n v="3"/>
    <x v="0"/>
    <s v="moderate"/>
    <s v="little"/>
    <n v="2249"/>
    <n v="18"/>
    <s v="car"/>
    <x v="0"/>
  </r>
  <r>
    <n v="28"/>
    <x v="4"/>
    <x v="0"/>
    <n v="2"/>
    <x v="0"/>
    <s v="little"/>
    <s v="little"/>
    <n v="1108"/>
    <n v="12"/>
    <s v="repairs"/>
    <x v="0"/>
  </r>
  <r>
    <n v="56"/>
    <x v="2"/>
    <x v="0"/>
    <n v="2"/>
    <x v="0"/>
    <s v="little"/>
    <s v="Unknown"/>
    <n v="618"/>
    <n v="12"/>
    <s v="radio/TV"/>
    <x v="0"/>
  </r>
  <r>
    <n v="54"/>
    <x v="2"/>
    <x v="0"/>
    <n v="2"/>
    <x v="0"/>
    <s v="little"/>
    <s v="little"/>
    <n v="1409"/>
    <n v="12"/>
    <s v="car"/>
    <x v="0"/>
  </r>
  <r>
    <n v="33"/>
    <x v="4"/>
    <x v="1"/>
    <n v="1"/>
    <x v="0"/>
    <s v="Unknown"/>
    <s v="Unknown"/>
    <n v="797"/>
    <n v="12"/>
    <s v="radio/TV"/>
    <x v="0"/>
  </r>
  <r>
    <n v="20"/>
    <x v="1"/>
    <x v="0"/>
    <n v="2"/>
    <x v="2"/>
    <s v="Unknown"/>
    <s v="rich"/>
    <n v="3617"/>
    <n v="24"/>
    <s v="furniture/equipment"/>
    <x v="0"/>
  </r>
  <r>
    <n v="54"/>
    <x v="2"/>
    <x v="0"/>
    <n v="2"/>
    <x v="0"/>
    <s v="rich"/>
    <s v="moderate"/>
    <n v="1318"/>
    <n v="12"/>
    <s v="car"/>
    <x v="0"/>
  </r>
  <r>
    <n v="58"/>
    <x v="2"/>
    <x v="0"/>
    <n v="2"/>
    <x v="2"/>
    <s v="little"/>
    <s v="moderate"/>
    <n v="15945"/>
    <n v="54"/>
    <s v="business"/>
    <x v="1"/>
  </r>
  <r>
    <n v="61"/>
    <x v="0"/>
    <x v="1"/>
    <n v="2"/>
    <x v="0"/>
    <s v="Unknown"/>
    <s v="Unknown"/>
    <n v="2012"/>
    <n v="12"/>
    <s v="education"/>
    <x v="0"/>
  </r>
  <r>
    <n v="34"/>
    <x v="4"/>
    <x v="0"/>
    <n v="2"/>
    <x v="0"/>
    <s v="moderate"/>
    <s v="moderate"/>
    <n v="2622"/>
    <n v="18"/>
    <s v="business"/>
    <x v="0"/>
  </r>
  <r>
    <n v="36"/>
    <x v="3"/>
    <x v="0"/>
    <n v="2"/>
    <x v="0"/>
    <s v="little"/>
    <s v="moderate"/>
    <n v="2337"/>
    <n v="36"/>
    <s v="radio/TV"/>
    <x v="0"/>
  </r>
  <r>
    <n v="36"/>
    <x v="3"/>
    <x v="0"/>
    <n v="3"/>
    <x v="2"/>
    <s v="Unknown"/>
    <s v="moderate"/>
    <n v="7057"/>
    <n v="20"/>
    <s v="car"/>
    <x v="0"/>
  </r>
  <r>
    <n v="41"/>
    <x v="3"/>
    <x v="0"/>
    <n v="1"/>
    <x v="2"/>
    <s v="moderate"/>
    <s v="Unknown"/>
    <n v="1469"/>
    <n v="24"/>
    <s v="car"/>
    <x v="0"/>
  </r>
  <r>
    <n v="24"/>
    <x v="1"/>
    <x v="0"/>
    <n v="2"/>
    <x v="2"/>
    <s v="little"/>
    <s v="moderate"/>
    <n v="2323"/>
    <n v="36"/>
    <s v="radio/TV"/>
    <x v="0"/>
  </r>
  <r>
    <n v="24"/>
    <x v="1"/>
    <x v="1"/>
    <n v="2"/>
    <x v="0"/>
    <s v="little"/>
    <s v="Unknown"/>
    <n v="932"/>
    <n v="6"/>
    <s v="radio/TV"/>
    <x v="0"/>
  </r>
  <r>
    <n v="35"/>
    <x v="4"/>
    <x v="0"/>
    <n v="2"/>
    <x v="2"/>
    <s v="little"/>
    <s v="moderate"/>
    <n v="1919"/>
    <n v="9"/>
    <s v="furniture/equipment"/>
    <x v="0"/>
  </r>
  <r>
    <n v="26"/>
    <x v="4"/>
    <x v="0"/>
    <n v="2"/>
    <x v="2"/>
    <s v="Unknown"/>
    <s v="Unknown"/>
    <n v="2445"/>
    <n v="12"/>
    <s v="car"/>
    <x v="0"/>
  </r>
  <r>
    <n v="39"/>
    <x v="3"/>
    <x v="0"/>
    <n v="3"/>
    <x v="0"/>
    <s v="little"/>
    <s v="moderate"/>
    <n v="11938"/>
    <n v="24"/>
    <s v="vacation/others"/>
    <x v="1"/>
  </r>
  <r>
    <n v="39"/>
    <x v="3"/>
    <x v="0"/>
    <n v="3"/>
    <x v="0"/>
    <s v="little"/>
    <s v="Unknown"/>
    <n v="6458"/>
    <n v="18"/>
    <s v="car"/>
    <x v="0"/>
  </r>
  <r>
    <n v="32"/>
    <x v="4"/>
    <x v="0"/>
    <n v="2"/>
    <x v="0"/>
    <s v="little"/>
    <s v="moderate"/>
    <n v="6078"/>
    <n v="12"/>
    <s v="car"/>
    <x v="0"/>
  </r>
  <r>
    <n v="30"/>
    <x v="4"/>
    <x v="1"/>
    <n v="2"/>
    <x v="0"/>
    <s v="Unknown"/>
    <s v="little"/>
    <n v="7721"/>
    <n v="24"/>
    <s v="furniture/equipment"/>
    <x v="0"/>
  </r>
  <r>
    <n v="35"/>
    <x v="4"/>
    <x v="0"/>
    <n v="2"/>
    <x v="0"/>
    <s v="quite rich"/>
    <s v="moderate"/>
    <n v="1410"/>
    <n v="14"/>
    <s v="business"/>
    <x v="0"/>
  </r>
  <r>
    <n v="31"/>
    <x v="4"/>
    <x v="0"/>
    <n v="2"/>
    <x v="0"/>
    <s v="moderate"/>
    <s v="moderate"/>
    <n v="1449"/>
    <n v="6"/>
    <s v="business"/>
    <x v="0"/>
  </r>
  <r>
    <n v="23"/>
    <x v="1"/>
    <x v="1"/>
    <n v="2"/>
    <x v="2"/>
    <s v="little"/>
    <s v="rich"/>
    <n v="392"/>
    <n v="15"/>
    <s v="education"/>
    <x v="0"/>
  </r>
  <r>
    <n v="28"/>
    <x v="4"/>
    <x v="0"/>
    <n v="1"/>
    <x v="2"/>
    <s v="little"/>
    <s v="moderate"/>
    <n v="6260"/>
    <n v="18"/>
    <s v="car"/>
    <x v="0"/>
  </r>
  <r>
    <n v="25"/>
    <x v="1"/>
    <x v="1"/>
    <n v="2"/>
    <x v="0"/>
    <s v="little"/>
    <s v="Unknown"/>
    <n v="7855"/>
    <n v="36"/>
    <s v="car"/>
    <x v="0"/>
  </r>
  <r>
    <n v="35"/>
    <x v="4"/>
    <x v="0"/>
    <n v="2"/>
    <x v="0"/>
    <s v="quite rich"/>
    <s v="little"/>
    <n v="1680"/>
    <n v="12"/>
    <s v="radio/TV"/>
    <x v="0"/>
  </r>
  <r>
    <n v="47"/>
    <x v="2"/>
    <x v="0"/>
    <n v="2"/>
    <x v="0"/>
    <s v="Unknown"/>
    <s v="Unknown"/>
    <n v="3578"/>
    <n v="48"/>
    <s v="radio/TV"/>
    <x v="0"/>
  </r>
  <r>
    <n v="30"/>
    <x v="4"/>
    <x v="1"/>
    <n v="3"/>
    <x v="0"/>
    <s v="Unknown"/>
    <s v="little"/>
    <n v="7174"/>
    <n v="42"/>
    <s v="radio/TV"/>
    <x v="0"/>
  </r>
  <r>
    <n v="27"/>
    <x v="4"/>
    <x v="1"/>
    <n v="2"/>
    <x v="2"/>
    <s v="Unknown"/>
    <s v="little"/>
    <n v="2132"/>
    <n v="10"/>
    <s v="furniture/equipment"/>
    <x v="0"/>
  </r>
  <r>
    <n v="23"/>
    <x v="1"/>
    <x v="1"/>
    <n v="2"/>
    <x v="0"/>
    <s v="quite rich"/>
    <s v="little"/>
    <n v="4281"/>
    <n v="33"/>
    <s v="furniture/equipment"/>
    <x v="0"/>
  </r>
  <r>
    <n v="36"/>
    <x v="3"/>
    <x v="0"/>
    <n v="3"/>
    <x v="0"/>
    <s v="quite rich"/>
    <s v="moderate"/>
    <n v="2366"/>
    <n v="12"/>
    <s v="car"/>
    <x v="0"/>
  </r>
  <r>
    <n v="25"/>
    <x v="1"/>
    <x v="1"/>
    <n v="2"/>
    <x v="0"/>
    <s v="little"/>
    <s v="little"/>
    <n v="1835"/>
    <n v="21"/>
    <s v="radio/TV"/>
    <x v="0"/>
  </r>
  <r>
    <n v="41"/>
    <x v="3"/>
    <x v="1"/>
    <n v="3"/>
    <x v="2"/>
    <s v="little"/>
    <s v="Unknown"/>
    <n v="3868"/>
    <n v="24"/>
    <s v="car"/>
    <x v="0"/>
  </r>
  <r>
    <n v="24"/>
    <x v="1"/>
    <x v="0"/>
    <n v="1"/>
    <x v="2"/>
    <s v="little"/>
    <s v="Unknown"/>
    <n v="1768"/>
    <n v="12"/>
    <s v="furniture/equipment"/>
    <x v="0"/>
  </r>
  <r>
    <n v="63"/>
    <x v="0"/>
    <x v="0"/>
    <n v="2"/>
    <x v="1"/>
    <s v="little"/>
    <s v="rich"/>
    <n v="781"/>
    <n v="10"/>
    <s v="car"/>
    <x v="0"/>
  </r>
  <r>
    <n v="27"/>
    <x v="4"/>
    <x v="1"/>
    <n v="2"/>
    <x v="2"/>
    <s v="Unknown"/>
    <s v="moderate"/>
    <n v="1924"/>
    <n v="18"/>
    <s v="furniture/equipment"/>
    <x v="0"/>
  </r>
  <r>
    <n v="30"/>
    <x v="4"/>
    <x v="0"/>
    <n v="2"/>
    <x v="0"/>
    <s v="little"/>
    <s v="little"/>
    <n v="2121"/>
    <n v="12"/>
    <s v="car"/>
    <x v="0"/>
  </r>
  <r>
    <n v="40"/>
    <x v="3"/>
    <x v="0"/>
    <n v="1"/>
    <x v="0"/>
    <s v="little"/>
    <s v="little"/>
    <n v="701"/>
    <n v="12"/>
    <s v="radio/TV"/>
    <x v="0"/>
  </r>
  <r>
    <n v="30"/>
    <x v="4"/>
    <x v="0"/>
    <n v="2"/>
    <x v="0"/>
    <s v="little"/>
    <s v="moderate"/>
    <n v="639"/>
    <n v="12"/>
    <s v="repairs"/>
    <x v="0"/>
  </r>
  <r>
    <n v="34"/>
    <x v="4"/>
    <x v="0"/>
    <n v="3"/>
    <x v="0"/>
    <s v="little"/>
    <s v="moderate"/>
    <n v="1860"/>
    <n v="12"/>
    <s v="car"/>
    <x v="0"/>
  </r>
  <r>
    <n v="29"/>
    <x v="4"/>
    <x v="1"/>
    <n v="2"/>
    <x v="0"/>
    <s v="little"/>
    <s v="little"/>
    <n v="3499"/>
    <n v="12"/>
    <s v="car"/>
    <x v="0"/>
  </r>
  <r>
    <n v="24"/>
    <x v="1"/>
    <x v="1"/>
    <n v="2"/>
    <x v="0"/>
    <s v="Unknown"/>
    <s v="moderate"/>
    <n v="8487"/>
    <n v="48"/>
    <s v="car"/>
    <x v="0"/>
  </r>
  <r>
    <n v="29"/>
    <x v="4"/>
    <x v="0"/>
    <n v="2"/>
    <x v="0"/>
    <s v="little"/>
    <s v="little"/>
    <n v="6887"/>
    <n v="36"/>
    <s v="education"/>
    <x v="0"/>
  </r>
  <r>
    <n v="27"/>
    <x v="4"/>
    <x v="0"/>
    <n v="1"/>
    <x v="0"/>
    <s v="little"/>
    <s v="Unknown"/>
    <n v="2708"/>
    <n v="15"/>
    <s v="furniture/equipment"/>
    <x v="0"/>
  </r>
  <r>
    <n v="47"/>
    <x v="2"/>
    <x v="0"/>
    <n v="2"/>
    <x v="1"/>
    <s v="little"/>
    <s v="Unknown"/>
    <n v="1984"/>
    <n v="18"/>
    <s v="furniture/equipment"/>
    <x v="0"/>
  </r>
  <r>
    <n v="21"/>
    <x v="1"/>
    <x v="1"/>
    <n v="2"/>
    <x v="0"/>
    <s v="moderate"/>
    <s v="Unknown"/>
    <n v="10144"/>
    <n v="60"/>
    <s v="radio/TV"/>
    <x v="0"/>
  </r>
  <r>
    <n v="38"/>
    <x v="3"/>
    <x v="1"/>
    <n v="2"/>
    <x v="0"/>
    <s v="Unknown"/>
    <s v="Unknown"/>
    <n v="1240"/>
    <n v="12"/>
    <s v="radio/TV"/>
    <x v="0"/>
  </r>
  <r>
    <n v="27"/>
    <x v="4"/>
    <x v="0"/>
    <n v="2"/>
    <x v="0"/>
    <s v="rich"/>
    <s v="Unknown"/>
    <n v="8613"/>
    <n v="27"/>
    <s v="car"/>
    <x v="0"/>
  </r>
  <r>
    <n v="66"/>
    <x v="0"/>
    <x v="0"/>
    <n v="1"/>
    <x v="0"/>
    <s v="quite rich"/>
    <s v="moderate"/>
    <n v="766"/>
    <n v="12"/>
    <s v="radio/TV"/>
    <x v="0"/>
  </r>
  <r>
    <n v="35"/>
    <x v="4"/>
    <x v="0"/>
    <n v="2"/>
    <x v="0"/>
    <s v="Unknown"/>
    <s v="moderate"/>
    <n v="2728"/>
    <n v="15"/>
    <s v="radio/TV"/>
    <x v="0"/>
  </r>
  <r>
    <n v="44"/>
    <x v="3"/>
    <x v="1"/>
    <n v="1"/>
    <x v="2"/>
    <s v="little"/>
    <s v="rich"/>
    <n v="1881"/>
    <n v="12"/>
    <s v="radio/TV"/>
    <x v="0"/>
  </r>
  <r>
    <n v="27"/>
    <x v="4"/>
    <x v="0"/>
    <n v="0"/>
    <x v="0"/>
    <s v="rich"/>
    <s v="rich"/>
    <n v="709"/>
    <n v="6"/>
    <s v="car"/>
    <x v="0"/>
  </r>
  <r>
    <n v="30"/>
    <x v="4"/>
    <x v="1"/>
    <n v="3"/>
    <x v="0"/>
    <s v="little"/>
    <s v="moderate"/>
    <n v="4795"/>
    <n v="36"/>
    <s v="radio/TV"/>
    <x v="0"/>
  </r>
  <r>
    <n v="27"/>
    <x v="4"/>
    <x v="0"/>
    <n v="3"/>
    <x v="0"/>
    <s v="little"/>
    <s v="little"/>
    <n v="3416"/>
    <n v="27"/>
    <s v="radio/TV"/>
    <x v="0"/>
  </r>
  <r>
    <n v="22"/>
    <x v="1"/>
    <x v="0"/>
    <n v="2"/>
    <x v="0"/>
    <s v="little"/>
    <s v="little"/>
    <n v="2462"/>
    <n v="18"/>
    <s v="furniture/equipment"/>
    <x v="0"/>
  </r>
  <r>
    <n v="23"/>
    <x v="1"/>
    <x v="1"/>
    <n v="2"/>
    <x v="0"/>
    <s v="little"/>
    <s v="Unknown"/>
    <n v="2288"/>
    <n v="21"/>
    <s v="furniture/equipment"/>
    <x v="0"/>
  </r>
  <r>
    <n v="30"/>
    <x v="4"/>
    <x v="0"/>
    <n v="2"/>
    <x v="0"/>
    <s v="moderate"/>
    <s v="moderate"/>
    <n v="3566"/>
    <n v="48"/>
    <s v="business"/>
    <x v="0"/>
  </r>
  <r>
    <n v="39"/>
    <x v="3"/>
    <x v="1"/>
    <n v="2"/>
    <x v="0"/>
    <s v="little"/>
    <s v="little"/>
    <n v="860"/>
    <n v="6"/>
    <s v="car"/>
    <x v="0"/>
  </r>
  <r>
    <n v="51"/>
    <x v="2"/>
    <x v="1"/>
    <n v="2"/>
    <x v="0"/>
    <s v="moderate"/>
    <s v="Unknown"/>
    <n v="682"/>
    <n v="12"/>
    <s v="car"/>
    <x v="0"/>
  </r>
  <r>
    <n v="28"/>
    <x v="4"/>
    <x v="0"/>
    <n v="2"/>
    <x v="0"/>
    <s v="little"/>
    <s v="little"/>
    <n v="5371"/>
    <n v="36"/>
    <s v="furniture/equipment"/>
    <x v="0"/>
  </r>
  <r>
    <n v="46"/>
    <x v="2"/>
    <x v="0"/>
    <n v="2"/>
    <x v="0"/>
    <s v="rich"/>
    <s v="Unknown"/>
    <n v="1582"/>
    <n v="18"/>
    <s v="radio/TV"/>
    <x v="0"/>
  </r>
  <r>
    <n v="42"/>
    <x v="3"/>
    <x v="0"/>
    <n v="2"/>
    <x v="1"/>
    <s v="moderate"/>
    <s v="Unknown"/>
    <n v="1346"/>
    <n v="6"/>
    <s v="radio/TV"/>
    <x v="0"/>
  </r>
  <r>
    <n v="38"/>
    <x v="3"/>
    <x v="0"/>
    <n v="2"/>
    <x v="0"/>
    <s v="little"/>
    <s v="Unknown"/>
    <n v="1924"/>
    <n v="10"/>
    <s v="radio/TV"/>
    <x v="0"/>
  </r>
  <r>
    <n v="24"/>
    <x v="1"/>
    <x v="0"/>
    <n v="2"/>
    <x v="0"/>
    <s v="little"/>
    <s v="rich"/>
    <n v="5848"/>
    <n v="36"/>
    <s v="radio/TV"/>
    <x v="0"/>
  </r>
  <r>
    <n v="29"/>
    <x v="4"/>
    <x v="1"/>
    <n v="2"/>
    <x v="2"/>
    <s v="rich"/>
    <s v="moderate"/>
    <n v="7758"/>
    <n v="24"/>
    <s v="car"/>
    <x v="0"/>
  </r>
  <r>
    <n v="36"/>
    <x v="3"/>
    <x v="0"/>
    <n v="3"/>
    <x v="2"/>
    <s v="moderate"/>
    <s v="moderate"/>
    <n v="6967"/>
    <n v="24"/>
    <s v="business"/>
    <x v="0"/>
  </r>
  <r>
    <n v="20"/>
    <x v="1"/>
    <x v="1"/>
    <n v="2"/>
    <x v="2"/>
    <s v="little"/>
    <s v="little"/>
    <n v="1282"/>
    <n v="12"/>
    <s v="furniture/equipment"/>
    <x v="0"/>
  </r>
  <r>
    <n v="48"/>
    <x v="2"/>
    <x v="0"/>
    <n v="2"/>
    <x v="0"/>
    <s v="moderate"/>
    <s v="little"/>
    <n v="1288"/>
    <n v="9"/>
    <s v="repairs"/>
    <x v="0"/>
  </r>
  <r>
    <n v="45"/>
    <x v="3"/>
    <x v="0"/>
    <n v="1"/>
    <x v="0"/>
    <s v="little"/>
    <s v="little"/>
    <n v="339"/>
    <n v="12"/>
    <s v="education"/>
    <x v="0"/>
  </r>
  <r>
    <n v="38"/>
    <x v="3"/>
    <x v="0"/>
    <n v="2"/>
    <x v="0"/>
    <s v="moderate"/>
    <s v="moderate"/>
    <n v="3512"/>
    <n v="24"/>
    <s v="car"/>
    <x v="0"/>
  </r>
  <r>
    <n v="34"/>
    <x v="4"/>
    <x v="0"/>
    <n v="1"/>
    <x v="0"/>
    <s v="Unknown"/>
    <s v="Unknown"/>
    <n v="1898"/>
    <n v="6"/>
    <s v="radio/TV"/>
    <x v="0"/>
  </r>
  <r>
    <n v="36"/>
    <x v="3"/>
    <x v="0"/>
    <n v="2"/>
    <x v="0"/>
    <s v="moderate"/>
    <s v="Unknown"/>
    <n v="2872"/>
    <n v="24"/>
    <s v="radio/TV"/>
    <x v="0"/>
  </r>
  <r>
    <n v="30"/>
    <x v="4"/>
    <x v="1"/>
    <n v="2"/>
    <x v="0"/>
    <s v="little"/>
    <s v="Unknown"/>
    <n v="1055"/>
    <n v="18"/>
    <s v="car"/>
    <x v="0"/>
  </r>
  <r>
    <n v="36"/>
    <x v="3"/>
    <x v="0"/>
    <n v="2"/>
    <x v="0"/>
    <s v="quite rich"/>
    <s v="Unknown"/>
    <n v="1262"/>
    <n v="15"/>
    <s v="domestic appliances"/>
    <x v="0"/>
  </r>
  <r>
    <n v="70"/>
    <x v="0"/>
    <x v="0"/>
    <n v="3"/>
    <x v="1"/>
    <s v="little"/>
    <s v="moderate"/>
    <n v="7308"/>
    <n v="10"/>
    <s v="car"/>
    <x v="0"/>
  </r>
  <r>
    <n v="36"/>
    <x v="3"/>
    <x v="0"/>
    <n v="2"/>
    <x v="0"/>
    <s v="quite rich"/>
    <s v="Unknown"/>
    <n v="909"/>
    <n v="36"/>
    <s v="car"/>
    <x v="0"/>
  </r>
  <r>
    <n v="32"/>
    <x v="4"/>
    <x v="0"/>
    <n v="2"/>
    <x v="0"/>
    <s v="quite rich"/>
    <s v="Unknown"/>
    <n v="2978"/>
    <n v="6"/>
    <s v="furniture/equipment"/>
    <x v="0"/>
  </r>
  <r>
    <n v="33"/>
    <x v="4"/>
    <x v="1"/>
    <n v="2"/>
    <x v="0"/>
    <s v="little"/>
    <s v="little"/>
    <n v="1131"/>
    <n v="18"/>
    <s v="furniture/equipment"/>
    <x v="0"/>
  </r>
  <r>
    <n v="20"/>
    <x v="1"/>
    <x v="1"/>
    <n v="2"/>
    <x v="0"/>
    <s v="rich"/>
    <s v="moderate"/>
    <n v="1577"/>
    <n v="11"/>
    <s v="furniture/equipment"/>
    <x v="0"/>
  </r>
  <r>
    <n v="25"/>
    <x v="1"/>
    <x v="1"/>
    <n v="2"/>
    <x v="2"/>
    <s v="little"/>
    <s v="Unknown"/>
    <n v="3972"/>
    <n v="24"/>
    <s v="furniture/equipment"/>
    <x v="0"/>
  </r>
  <r>
    <n v="31"/>
    <x v="4"/>
    <x v="0"/>
    <n v="2"/>
    <x v="0"/>
    <s v="little"/>
    <s v="moderate"/>
    <n v="1935"/>
    <n v="24"/>
    <s v="business"/>
    <x v="0"/>
  </r>
  <r>
    <n v="33"/>
    <x v="4"/>
    <x v="0"/>
    <n v="2"/>
    <x v="2"/>
    <s v="little"/>
    <s v="little"/>
    <n v="950"/>
    <n v="15"/>
    <s v="car"/>
    <x v="0"/>
  </r>
  <r>
    <n v="26"/>
    <x v="4"/>
    <x v="1"/>
    <n v="2"/>
    <x v="0"/>
    <s v="little"/>
    <s v="Unknown"/>
    <n v="763"/>
    <n v="12"/>
    <s v="furniture/equipment"/>
    <x v="0"/>
  </r>
  <r>
    <n v="34"/>
    <x v="4"/>
    <x v="1"/>
    <n v="3"/>
    <x v="0"/>
    <s v="little"/>
    <s v="moderate"/>
    <n v="2064"/>
    <n v="24"/>
    <s v="furniture/equipment"/>
    <x v="0"/>
  </r>
  <r>
    <n v="33"/>
    <x v="4"/>
    <x v="0"/>
    <n v="2"/>
    <x v="0"/>
    <s v="little"/>
    <s v="moderate"/>
    <n v="1414"/>
    <n v="8"/>
    <s v="radio/TV"/>
    <x v="0"/>
  </r>
  <r>
    <n v="26"/>
    <x v="4"/>
    <x v="0"/>
    <n v="2"/>
    <x v="0"/>
    <s v="little"/>
    <s v="little"/>
    <n v="3414"/>
    <n v="21"/>
    <s v="education"/>
    <x v="0"/>
  </r>
  <r>
    <n v="53"/>
    <x v="2"/>
    <x v="1"/>
    <n v="3"/>
    <x v="0"/>
    <s v="Unknown"/>
    <s v="Unknown"/>
    <n v="7485"/>
    <n v="30"/>
    <s v="car"/>
    <x v="0"/>
  </r>
  <r>
    <n v="42"/>
    <x v="3"/>
    <x v="0"/>
    <n v="2"/>
    <x v="0"/>
    <s v="little"/>
    <s v="little"/>
    <n v="2577"/>
    <n v="12"/>
    <s v="furniture/equipment"/>
    <x v="0"/>
  </r>
  <r>
    <n v="52"/>
    <x v="2"/>
    <x v="0"/>
    <n v="2"/>
    <x v="0"/>
    <s v="quite rich"/>
    <s v="little"/>
    <n v="338"/>
    <n v="6"/>
    <s v="radio/TV"/>
    <x v="0"/>
  </r>
  <r>
    <n v="31"/>
    <x v="4"/>
    <x v="0"/>
    <n v="3"/>
    <x v="2"/>
    <s v="little"/>
    <s v="Unknown"/>
    <n v="1963"/>
    <n v="12"/>
    <s v="radio/TV"/>
    <x v="0"/>
  </r>
  <r>
    <n v="65"/>
    <x v="0"/>
    <x v="0"/>
    <n v="2"/>
    <x v="0"/>
    <s v="little"/>
    <s v="little"/>
    <n v="571"/>
    <n v="21"/>
    <s v="car"/>
    <x v="0"/>
  </r>
  <r>
    <n v="28"/>
    <x v="4"/>
    <x v="0"/>
    <n v="2"/>
    <x v="0"/>
    <s v="little"/>
    <s v="Unknown"/>
    <n v="9572"/>
    <n v="36"/>
    <s v="business"/>
    <x v="1"/>
  </r>
  <r>
    <n v="30"/>
    <x v="4"/>
    <x v="0"/>
    <n v="3"/>
    <x v="0"/>
    <s v="little"/>
    <s v="moderate"/>
    <n v="4455"/>
    <n v="36"/>
    <s v="business"/>
    <x v="0"/>
  </r>
  <r>
    <n v="40"/>
    <x v="3"/>
    <x v="0"/>
    <n v="1"/>
    <x v="0"/>
    <s v="Unknown"/>
    <s v="little"/>
    <n v="1647"/>
    <n v="21"/>
    <s v="car"/>
    <x v="0"/>
  </r>
  <r>
    <n v="50"/>
    <x v="2"/>
    <x v="0"/>
    <n v="2"/>
    <x v="0"/>
    <s v="rich"/>
    <s v="Unknown"/>
    <n v="3777"/>
    <n v="24"/>
    <s v="furniture/equipment"/>
    <x v="0"/>
  </r>
  <r>
    <n v="36"/>
    <x v="3"/>
    <x v="0"/>
    <n v="2"/>
    <x v="0"/>
    <s v="little"/>
    <s v="moderate"/>
    <n v="884"/>
    <n v="18"/>
    <s v="car"/>
    <x v="0"/>
  </r>
  <r>
    <n v="31"/>
    <x v="4"/>
    <x v="0"/>
    <n v="2"/>
    <x v="0"/>
    <s v="little"/>
    <s v="Unknown"/>
    <n v="1360"/>
    <n v="15"/>
    <s v="radio/TV"/>
    <x v="0"/>
  </r>
  <r>
    <n v="74"/>
    <x v="0"/>
    <x v="1"/>
    <n v="3"/>
    <x v="1"/>
    <s v="little"/>
    <s v="moderate"/>
    <n v="5129"/>
    <n v="9"/>
    <s v="car"/>
    <x v="0"/>
  </r>
  <r>
    <n v="68"/>
    <x v="0"/>
    <x v="0"/>
    <n v="0"/>
    <x v="1"/>
    <s v="little"/>
    <s v="moderate"/>
    <n v="1175"/>
    <n v="16"/>
    <s v="car"/>
    <x v="0"/>
  </r>
  <r>
    <n v="20"/>
    <x v="1"/>
    <x v="0"/>
    <n v="2"/>
    <x v="0"/>
    <s v="moderate"/>
    <s v="little"/>
    <n v="674"/>
    <n v="12"/>
    <s v="radio/TV"/>
    <x v="0"/>
  </r>
  <r>
    <n v="33"/>
    <x v="4"/>
    <x v="1"/>
    <n v="2"/>
    <x v="0"/>
    <s v="little"/>
    <s v="moderate"/>
    <n v="3244"/>
    <n v="18"/>
    <s v="furniture/equipment"/>
    <x v="0"/>
  </r>
  <r>
    <n v="54"/>
    <x v="2"/>
    <x v="0"/>
    <n v="3"/>
    <x v="0"/>
    <s v="rich"/>
    <s v="Unknown"/>
    <n v="4591"/>
    <n v="24"/>
    <s v="business"/>
    <x v="0"/>
  </r>
  <r>
    <n v="34"/>
    <x v="4"/>
    <x v="0"/>
    <n v="1"/>
    <x v="1"/>
    <s v="moderate"/>
    <s v="moderate"/>
    <n v="3844"/>
    <n v="48"/>
    <s v="business"/>
    <x v="0"/>
  </r>
  <r>
    <n v="36"/>
    <x v="3"/>
    <x v="0"/>
    <n v="2"/>
    <x v="0"/>
    <s v="little"/>
    <s v="moderate"/>
    <n v="3915"/>
    <n v="27"/>
    <s v="business"/>
    <x v="0"/>
  </r>
  <r>
    <n v="29"/>
    <x v="4"/>
    <x v="0"/>
    <n v="2"/>
    <x v="2"/>
    <s v="little"/>
    <s v="Unknown"/>
    <n v="2108"/>
    <n v="6"/>
    <s v="radio/TV"/>
    <x v="0"/>
  </r>
  <r>
    <n v="21"/>
    <x v="1"/>
    <x v="0"/>
    <n v="2"/>
    <x v="2"/>
    <s v="moderate"/>
    <s v="moderate"/>
    <n v="3031"/>
    <n v="45"/>
    <s v="radio/TV"/>
    <x v="0"/>
  </r>
  <r>
    <n v="34"/>
    <x v="4"/>
    <x v="1"/>
    <n v="3"/>
    <x v="0"/>
    <s v="little"/>
    <s v="moderate"/>
    <n v="1501"/>
    <n v="9"/>
    <s v="education"/>
    <x v="0"/>
  </r>
  <r>
    <n v="28"/>
    <x v="4"/>
    <x v="1"/>
    <n v="2"/>
    <x v="0"/>
    <s v="little"/>
    <s v="Unknown"/>
    <n v="1382"/>
    <n v="6"/>
    <s v="radio/TV"/>
    <x v="0"/>
  </r>
  <r>
    <n v="27"/>
    <x v="4"/>
    <x v="1"/>
    <n v="2"/>
    <x v="2"/>
    <s v="moderate"/>
    <s v="moderate"/>
    <n v="951"/>
    <n v="12"/>
    <s v="furniture/equipment"/>
    <x v="0"/>
  </r>
  <r>
    <n v="36"/>
    <x v="3"/>
    <x v="0"/>
    <n v="2"/>
    <x v="1"/>
    <s v="Unknown"/>
    <s v="moderate"/>
    <n v="2760"/>
    <n v="24"/>
    <s v="car"/>
    <x v="0"/>
  </r>
  <r>
    <n v="40"/>
    <x v="3"/>
    <x v="0"/>
    <n v="3"/>
    <x v="0"/>
    <s v="little"/>
    <s v="moderate"/>
    <n v="4297"/>
    <n v="18"/>
    <s v="furniture/equipment"/>
    <x v="0"/>
  </r>
  <r>
    <n v="52"/>
    <x v="2"/>
    <x v="0"/>
    <n v="2"/>
    <x v="0"/>
    <s v="quite rich"/>
    <s v="Unknown"/>
    <n v="936"/>
    <n v="9"/>
    <s v="education"/>
    <x v="0"/>
  </r>
  <r>
    <n v="27"/>
    <x v="4"/>
    <x v="0"/>
    <n v="1"/>
    <x v="0"/>
    <s v="little"/>
    <s v="little"/>
    <n v="1168"/>
    <n v="12"/>
    <s v="car"/>
    <x v="0"/>
  </r>
  <r>
    <n v="26"/>
    <x v="4"/>
    <x v="0"/>
    <n v="2"/>
    <x v="0"/>
    <s v="little"/>
    <s v="Unknown"/>
    <n v="5117"/>
    <n v="27"/>
    <s v="business"/>
    <x v="0"/>
  </r>
  <r>
    <n v="21"/>
    <x v="1"/>
    <x v="0"/>
    <n v="2"/>
    <x v="2"/>
    <s v="little"/>
    <s v="little"/>
    <n v="902"/>
    <n v="12"/>
    <s v="education"/>
    <x v="0"/>
  </r>
  <r>
    <n v="38"/>
    <x v="3"/>
    <x v="0"/>
    <n v="1"/>
    <x v="0"/>
    <s v="little"/>
    <s v="Unknown"/>
    <n v="1495"/>
    <n v="12"/>
    <s v="car"/>
    <x v="0"/>
  </r>
  <r>
    <n v="38"/>
    <x v="3"/>
    <x v="0"/>
    <n v="3"/>
    <x v="1"/>
    <s v="little"/>
    <s v="little"/>
    <n v="10623"/>
    <n v="30"/>
    <s v="car"/>
    <x v="1"/>
  </r>
  <r>
    <n v="43"/>
    <x v="3"/>
    <x v="0"/>
    <n v="2"/>
    <x v="0"/>
    <s v="little"/>
    <s v="Unknown"/>
    <n v="1935"/>
    <n v="12"/>
    <s v="furniture/equipment"/>
    <x v="0"/>
  </r>
  <r>
    <n v="26"/>
    <x v="4"/>
    <x v="0"/>
    <n v="2"/>
    <x v="0"/>
    <s v="little"/>
    <s v="moderate"/>
    <n v="1424"/>
    <n v="12"/>
    <s v="domestic appliances"/>
    <x v="0"/>
  </r>
  <r>
    <n v="21"/>
    <x v="1"/>
    <x v="0"/>
    <n v="1"/>
    <x v="0"/>
    <s v="little"/>
    <s v="little"/>
    <n v="6568"/>
    <n v="24"/>
    <s v="business"/>
    <x v="0"/>
  </r>
  <r>
    <n v="55"/>
    <x v="2"/>
    <x v="0"/>
    <n v="2"/>
    <x v="0"/>
    <s v="rich"/>
    <s v="Unknown"/>
    <n v="1413"/>
    <n v="12"/>
    <s v="car"/>
    <x v="0"/>
  </r>
  <r>
    <n v="33"/>
    <x v="4"/>
    <x v="0"/>
    <n v="2"/>
    <x v="0"/>
    <s v="Unknown"/>
    <s v="Unknown"/>
    <n v="3074"/>
    <n v="9"/>
    <s v="radio/TV"/>
    <x v="0"/>
  </r>
  <r>
    <n v="45"/>
    <x v="3"/>
    <x v="1"/>
    <n v="1"/>
    <x v="0"/>
    <s v="Unknown"/>
    <s v="Unknown"/>
    <n v="3835"/>
    <n v="36"/>
    <s v="radio/TV"/>
    <x v="0"/>
  </r>
  <r>
    <n v="50"/>
    <x v="2"/>
    <x v="0"/>
    <n v="2"/>
    <x v="0"/>
    <s v="little"/>
    <s v="little"/>
    <n v="5293"/>
    <n v="27"/>
    <s v="business"/>
    <x v="0"/>
  </r>
  <r>
    <n v="66"/>
    <x v="0"/>
    <x v="0"/>
    <n v="3"/>
    <x v="0"/>
    <s v="little"/>
    <s v="rich"/>
    <n v="1908"/>
    <n v="30"/>
    <s v="business"/>
    <x v="0"/>
  </r>
  <r>
    <n v="51"/>
    <x v="2"/>
    <x v="0"/>
    <n v="2"/>
    <x v="0"/>
    <s v="Unknown"/>
    <s v="Unknown"/>
    <n v="3342"/>
    <n v="36"/>
    <s v="radio/TV"/>
    <x v="0"/>
  </r>
  <r>
    <n v="39"/>
    <x v="3"/>
    <x v="1"/>
    <n v="1"/>
    <x v="0"/>
    <s v="Unknown"/>
    <s v="moderate"/>
    <n v="932"/>
    <n v="6"/>
    <s v="education"/>
    <x v="0"/>
  </r>
  <r>
    <n v="31"/>
    <x v="4"/>
    <x v="0"/>
    <n v="2"/>
    <x v="0"/>
    <s v="little"/>
    <s v="little"/>
    <n v="3104"/>
    <n v="18"/>
    <s v="business"/>
    <x v="0"/>
  </r>
  <r>
    <n v="23"/>
    <x v="1"/>
    <x v="0"/>
    <n v="2"/>
    <x v="0"/>
    <s v="little"/>
    <s v="rich"/>
    <n v="3913"/>
    <n v="36"/>
    <s v="radio/TV"/>
    <x v="0"/>
  </r>
  <r>
    <n v="24"/>
    <x v="1"/>
    <x v="0"/>
    <n v="1"/>
    <x v="2"/>
    <s v="little"/>
    <s v="little"/>
    <n v="3021"/>
    <n v="24"/>
    <s v="furniture/equipment"/>
    <x v="0"/>
  </r>
  <r>
    <n v="64"/>
    <x v="0"/>
    <x v="1"/>
    <n v="2"/>
    <x v="0"/>
    <s v="little"/>
    <s v="Unknown"/>
    <n v="1364"/>
    <n v="10"/>
    <s v="car"/>
    <x v="0"/>
  </r>
  <r>
    <n v="26"/>
    <x v="4"/>
    <x v="0"/>
    <n v="1"/>
    <x v="0"/>
    <s v="little"/>
    <s v="moderate"/>
    <n v="625"/>
    <n v="12"/>
    <s v="radio/TV"/>
    <x v="0"/>
  </r>
  <r>
    <n v="23"/>
    <x v="1"/>
    <x v="1"/>
    <n v="2"/>
    <x v="2"/>
    <s v="Unknown"/>
    <s v="little"/>
    <n v="1200"/>
    <n v="12"/>
    <s v="education"/>
    <x v="0"/>
  </r>
  <r>
    <n v="30"/>
    <x v="4"/>
    <x v="0"/>
    <n v="2"/>
    <x v="0"/>
    <s v="little"/>
    <s v="Unknown"/>
    <n v="707"/>
    <n v="12"/>
    <s v="radio/TV"/>
    <x v="0"/>
  </r>
  <r>
    <n v="32"/>
    <x v="4"/>
    <x v="0"/>
    <n v="2"/>
    <x v="0"/>
    <s v="Unknown"/>
    <s v="Unknown"/>
    <n v="2978"/>
    <n v="24"/>
    <s v="business"/>
    <x v="0"/>
  </r>
  <r>
    <n v="30"/>
    <x v="4"/>
    <x v="0"/>
    <n v="2"/>
    <x v="0"/>
    <s v="little"/>
    <s v="Unknown"/>
    <n v="4657"/>
    <n v="15"/>
    <s v="car"/>
    <x v="0"/>
  </r>
  <r>
    <n v="27"/>
    <x v="4"/>
    <x v="0"/>
    <n v="2"/>
    <x v="0"/>
    <s v="little"/>
    <s v="Unknown"/>
    <n v="2613"/>
    <n v="36"/>
    <s v="repairs"/>
    <x v="0"/>
  </r>
  <r>
    <n v="27"/>
    <x v="4"/>
    <x v="0"/>
    <n v="2"/>
    <x v="0"/>
    <s v="rich"/>
    <s v="moderate"/>
    <n v="10961"/>
    <n v="48"/>
    <s v="radio/TV"/>
    <x v="0"/>
  </r>
  <r>
    <n v="53"/>
    <x v="2"/>
    <x v="0"/>
    <n v="3"/>
    <x v="1"/>
    <s v="little"/>
    <s v="little"/>
    <n v="7865"/>
    <n v="12"/>
    <s v="furniture/equipment"/>
    <x v="0"/>
  </r>
  <r>
    <n v="22"/>
    <x v="1"/>
    <x v="0"/>
    <n v="2"/>
    <x v="0"/>
    <s v="little"/>
    <s v="Unknown"/>
    <n v="1478"/>
    <n v="9"/>
    <s v="radio/TV"/>
    <x v="0"/>
  </r>
  <r>
    <n v="22"/>
    <x v="1"/>
    <x v="0"/>
    <n v="2"/>
    <x v="1"/>
    <s v="little"/>
    <s v="little"/>
    <n v="3149"/>
    <n v="24"/>
    <s v="furniture/equipment"/>
    <x v="0"/>
  </r>
  <r>
    <n v="26"/>
    <x v="4"/>
    <x v="0"/>
    <n v="2"/>
    <x v="0"/>
    <s v="little"/>
    <s v="rich"/>
    <n v="4210"/>
    <n v="36"/>
    <s v="radio/TV"/>
    <x v="0"/>
  </r>
  <r>
    <n v="51"/>
    <x v="2"/>
    <x v="0"/>
    <n v="1"/>
    <x v="1"/>
    <s v="quite rich"/>
    <s v="Unknown"/>
    <n v="2507"/>
    <n v="9"/>
    <s v="car"/>
    <x v="0"/>
  </r>
  <r>
    <n v="35"/>
    <x v="4"/>
    <x v="0"/>
    <n v="2"/>
    <x v="0"/>
    <s v="moderate"/>
    <s v="Unknown"/>
    <n v="2141"/>
    <n v="12"/>
    <s v="radio/TV"/>
    <x v="0"/>
  </r>
  <r>
    <n v="25"/>
    <x v="1"/>
    <x v="0"/>
    <n v="1"/>
    <x v="0"/>
    <s v="little"/>
    <s v="moderate"/>
    <n v="866"/>
    <n v="18"/>
    <s v="radio/TV"/>
    <x v="0"/>
  </r>
  <r>
    <n v="42"/>
    <x v="3"/>
    <x v="0"/>
    <n v="1"/>
    <x v="0"/>
    <s v="little"/>
    <s v="Unknown"/>
    <n v="1544"/>
    <n v="4"/>
    <s v="radio/TV"/>
    <x v="0"/>
  </r>
  <r>
    <n v="30"/>
    <x v="4"/>
    <x v="0"/>
    <n v="3"/>
    <x v="0"/>
    <s v="little"/>
    <s v="little"/>
    <n v="1823"/>
    <n v="24"/>
    <s v="radio/TV"/>
    <x v="0"/>
  </r>
  <r>
    <n v="23"/>
    <x v="1"/>
    <x v="0"/>
    <n v="0"/>
    <x v="0"/>
    <s v="Unknown"/>
    <s v="moderate"/>
    <n v="14555"/>
    <n v="6"/>
    <s v="car"/>
    <x v="0"/>
  </r>
  <r>
    <n v="61"/>
    <x v="0"/>
    <x v="0"/>
    <n v="1"/>
    <x v="2"/>
    <s v="moderate"/>
    <s v="moderate"/>
    <n v="2767"/>
    <n v="21"/>
    <s v="business"/>
    <x v="0"/>
  </r>
  <r>
    <n v="35"/>
    <x v="4"/>
    <x v="1"/>
    <n v="2"/>
    <x v="0"/>
    <s v="little"/>
    <s v="Unknown"/>
    <n v="1291"/>
    <n v="12"/>
    <s v="radio/TV"/>
    <x v="0"/>
  </r>
  <r>
    <n v="39"/>
    <x v="3"/>
    <x v="0"/>
    <n v="2"/>
    <x v="0"/>
    <s v="little"/>
    <s v="little"/>
    <n v="2522"/>
    <n v="30"/>
    <s v="radio/TV"/>
    <x v="0"/>
  </r>
  <r>
    <n v="29"/>
    <x v="4"/>
    <x v="1"/>
    <n v="2"/>
    <x v="0"/>
    <s v="Unknown"/>
    <s v="little"/>
    <n v="915"/>
    <n v="24"/>
    <s v="car"/>
    <x v="0"/>
  </r>
  <r>
    <n v="51"/>
    <x v="2"/>
    <x v="0"/>
    <n v="2"/>
    <x v="0"/>
    <s v="little"/>
    <s v="Unknown"/>
    <n v="1595"/>
    <n v="6"/>
    <s v="radio/TV"/>
    <x v="0"/>
  </r>
  <r>
    <n v="24"/>
    <x v="1"/>
    <x v="0"/>
    <n v="2"/>
    <x v="1"/>
    <s v="little"/>
    <s v="little"/>
    <n v="4605"/>
    <n v="48"/>
    <s v="car"/>
    <x v="0"/>
  </r>
  <r>
    <n v="27"/>
    <x v="4"/>
    <x v="1"/>
    <n v="2"/>
    <x v="0"/>
    <s v="little"/>
    <s v="Unknown"/>
    <n v="1185"/>
    <n v="12"/>
    <s v="business"/>
    <x v="0"/>
  </r>
  <r>
    <n v="35"/>
    <x v="4"/>
    <x v="1"/>
    <n v="1"/>
    <x v="0"/>
    <s v="quite rich"/>
    <s v="Unknown"/>
    <n v="3447"/>
    <n v="12"/>
    <s v="education"/>
    <x v="0"/>
  </r>
  <r>
    <n v="25"/>
    <x v="1"/>
    <x v="0"/>
    <n v="2"/>
    <x v="0"/>
    <s v="little"/>
    <s v="Unknown"/>
    <n v="1258"/>
    <n v="24"/>
    <s v="business"/>
    <x v="0"/>
  </r>
  <r>
    <n v="52"/>
    <x v="2"/>
    <x v="0"/>
    <n v="2"/>
    <x v="0"/>
    <s v="little"/>
    <s v="Unknown"/>
    <n v="717"/>
    <n v="12"/>
    <s v="radio/TV"/>
    <x v="0"/>
  </r>
  <r>
    <n v="35"/>
    <x v="4"/>
    <x v="0"/>
    <n v="2"/>
    <x v="2"/>
    <s v="moderate"/>
    <s v="Unknown"/>
    <n v="1204"/>
    <n v="6"/>
    <s v="car"/>
    <x v="0"/>
  </r>
  <r>
    <n v="26"/>
    <x v="4"/>
    <x v="0"/>
    <n v="2"/>
    <x v="0"/>
    <s v="little"/>
    <s v="rich"/>
    <n v="1925"/>
    <n v="24"/>
    <s v="furniture/equipment"/>
    <x v="0"/>
  </r>
  <r>
    <n v="22"/>
    <x v="1"/>
    <x v="1"/>
    <n v="2"/>
    <x v="2"/>
    <s v="little"/>
    <s v="Unknown"/>
    <n v="433"/>
    <n v="18"/>
    <s v="radio/TV"/>
    <x v="0"/>
  </r>
  <r>
    <n v="39"/>
    <x v="3"/>
    <x v="1"/>
    <n v="1"/>
    <x v="0"/>
    <s v="rich"/>
    <s v="little"/>
    <n v="666"/>
    <n v="6"/>
    <s v="car"/>
    <x v="0"/>
  </r>
  <r>
    <n v="46"/>
    <x v="2"/>
    <x v="1"/>
    <n v="1"/>
    <x v="0"/>
    <s v="little"/>
    <s v="rich"/>
    <n v="2251"/>
    <n v="12"/>
    <s v="furniture/equipment"/>
    <x v="0"/>
  </r>
  <r>
    <n v="24"/>
    <x v="1"/>
    <x v="1"/>
    <n v="2"/>
    <x v="0"/>
    <s v="little"/>
    <s v="moderate"/>
    <n v="2150"/>
    <n v="30"/>
    <s v="car"/>
    <x v="0"/>
  </r>
  <r>
    <n v="35"/>
    <x v="4"/>
    <x v="0"/>
    <n v="2"/>
    <x v="0"/>
    <s v="moderate"/>
    <s v="Unknown"/>
    <n v="4151"/>
    <n v="24"/>
    <s v="furniture/equipment"/>
    <x v="0"/>
  </r>
  <r>
    <n v="24"/>
    <x v="1"/>
    <x v="0"/>
    <n v="2"/>
    <x v="0"/>
    <s v="Unknown"/>
    <s v="moderate"/>
    <n v="2030"/>
    <n v="9"/>
    <s v="furniture/equipment"/>
    <x v="0"/>
  </r>
  <r>
    <n v="27"/>
    <x v="4"/>
    <x v="0"/>
    <n v="1"/>
    <x v="0"/>
    <s v="Unknown"/>
    <s v="moderate"/>
    <n v="7418"/>
    <n v="60"/>
    <s v="radio/TV"/>
    <x v="0"/>
  </r>
  <r>
    <n v="35"/>
    <x v="4"/>
    <x v="0"/>
    <n v="1"/>
    <x v="0"/>
    <s v="little"/>
    <s v="Unknown"/>
    <n v="2684"/>
    <n v="24"/>
    <s v="radio/TV"/>
    <x v="0"/>
  </r>
  <r>
    <n v="29"/>
    <x v="4"/>
    <x v="0"/>
    <n v="2"/>
    <x v="1"/>
    <s v="little"/>
    <s v="little"/>
    <n v="2149"/>
    <n v="12"/>
    <s v="radio/TV"/>
    <x v="0"/>
  </r>
  <r>
    <n v="23"/>
    <x v="1"/>
    <x v="1"/>
    <n v="2"/>
    <x v="0"/>
    <s v="moderate"/>
    <s v="Unknown"/>
    <n v="3812"/>
    <n v="15"/>
    <s v="car"/>
    <x v="0"/>
  </r>
  <r>
    <n v="57"/>
    <x v="2"/>
    <x v="1"/>
    <n v="1"/>
    <x v="0"/>
    <s v="moderate"/>
    <s v="Unknown"/>
    <n v="1154"/>
    <n v="11"/>
    <s v="radio/TV"/>
    <x v="0"/>
  </r>
  <r>
    <n v="27"/>
    <x v="4"/>
    <x v="0"/>
    <n v="2"/>
    <x v="0"/>
    <s v="little"/>
    <s v="little"/>
    <n v="1657"/>
    <n v="12"/>
    <s v="furniture/equipment"/>
    <x v="0"/>
  </r>
  <r>
    <n v="55"/>
    <x v="2"/>
    <x v="1"/>
    <n v="2"/>
    <x v="0"/>
    <s v="little"/>
    <s v="little"/>
    <n v="1603"/>
    <n v="24"/>
    <s v="radio/TV"/>
    <x v="0"/>
  </r>
  <r>
    <n v="36"/>
    <x v="3"/>
    <x v="0"/>
    <n v="3"/>
    <x v="1"/>
    <s v="little"/>
    <s v="little"/>
    <n v="5302"/>
    <n v="18"/>
    <s v="car"/>
    <x v="0"/>
  </r>
  <r>
    <n v="57"/>
    <x v="2"/>
    <x v="1"/>
    <n v="1"/>
    <x v="1"/>
    <s v="little"/>
    <s v="Unknown"/>
    <n v="2748"/>
    <n v="12"/>
    <s v="education"/>
    <x v="0"/>
  </r>
  <r>
    <n v="32"/>
    <x v="4"/>
    <x v="0"/>
    <n v="1"/>
    <x v="0"/>
    <s v="little"/>
    <s v="Unknown"/>
    <n v="1231"/>
    <n v="10"/>
    <s v="car"/>
    <x v="0"/>
  </r>
  <r>
    <n v="37"/>
    <x v="3"/>
    <x v="0"/>
    <n v="2"/>
    <x v="0"/>
    <s v="little"/>
    <s v="moderate"/>
    <n v="802"/>
    <n v="15"/>
    <s v="radio/TV"/>
    <x v="0"/>
  </r>
  <r>
    <n v="36"/>
    <x v="3"/>
    <x v="0"/>
    <n v="2"/>
    <x v="0"/>
    <s v="Unknown"/>
    <s v="Unknown"/>
    <n v="6304"/>
    <n v="36"/>
    <s v="business"/>
    <x v="0"/>
  </r>
  <r>
    <n v="38"/>
    <x v="3"/>
    <x v="1"/>
    <n v="2"/>
    <x v="0"/>
    <s v="little"/>
    <s v="Unknown"/>
    <n v="1533"/>
    <n v="24"/>
    <s v="radio/TV"/>
    <x v="0"/>
  </r>
  <r>
    <n v="45"/>
    <x v="3"/>
    <x v="0"/>
    <n v="3"/>
    <x v="0"/>
    <s v="little"/>
    <s v="little"/>
    <n v="8978"/>
    <n v="14"/>
    <s v="car"/>
    <x v="0"/>
  </r>
  <r>
    <n v="25"/>
    <x v="1"/>
    <x v="0"/>
    <n v="2"/>
    <x v="0"/>
    <s v="Unknown"/>
    <s v="Unknown"/>
    <n v="999"/>
    <n v="24"/>
    <s v="radio/TV"/>
    <x v="0"/>
  </r>
  <r>
    <n v="32"/>
    <x v="4"/>
    <x v="0"/>
    <n v="2"/>
    <x v="0"/>
    <s v="Unknown"/>
    <s v="Unknown"/>
    <n v="2662"/>
    <n v="18"/>
    <s v="car"/>
    <x v="0"/>
  </r>
  <r>
    <n v="37"/>
    <x v="3"/>
    <x v="1"/>
    <n v="2"/>
    <x v="2"/>
    <s v="quite rich"/>
    <s v="Unknown"/>
    <n v="1402"/>
    <n v="12"/>
    <s v="furniture/equipment"/>
    <x v="0"/>
  </r>
  <r>
    <n v="36"/>
    <x v="3"/>
    <x v="0"/>
    <n v="3"/>
    <x v="1"/>
    <s v="Unknown"/>
    <s v="moderate"/>
    <n v="12169"/>
    <n v="48"/>
    <s v="car"/>
    <x v="0"/>
  </r>
  <r>
    <n v="28"/>
    <x v="4"/>
    <x v="0"/>
    <n v="2"/>
    <x v="0"/>
    <s v="little"/>
    <s v="moderate"/>
    <n v="3060"/>
    <n v="48"/>
    <s v="radio/TV"/>
    <x v="0"/>
  </r>
  <r>
    <n v="34"/>
    <x v="4"/>
    <x v="0"/>
    <n v="1"/>
    <x v="0"/>
    <s v="little"/>
    <s v="little"/>
    <n v="11998"/>
    <n v="30"/>
    <s v="repairs"/>
    <x v="1"/>
  </r>
  <r>
    <n v="32"/>
    <x v="4"/>
    <x v="0"/>
    <n v="2"/>
    <x v="0"/>
    <s v="little"/>
    <s v="Unknown"/>
    <n v="2697"/>
    <n v="9"/>
    <s v="radio/TV"/>
    <x v="0"/>
  </r>
  <r>
    <n v="26"/>
    <x v="4"/>
    <x v="1"/>
    <n v="2"/>
    <x v="0"/>
    <s v="little"/>
    <s v="Unknown"/>
    <n v="2404"/>
    <n v="18"/>
    <s v="radio/TV"/>
    <x v="0"/>
  </r>
  <r>
    <n v="49"/>
    <x v="2"/>
    <x v="0"/>
    <n v="1"/>
    <x v="0"/>
    <s v="Unknown"/>
    <s v="little"/>
    <n v="1262"/>
    <n v="12"/>
    <s v="furniture/equipment"/>
    <x v="0"/>
  </r>
  <r>
    <n v="32"/>
    <x v="4"/>
    <x v="1"/>
    <n v="2"/>
    <x v="0"/>
    <s v="little"/>
    <s v="Unknown"/>
    <n v="4611"/>
    <n v="6"/>
    <s v="furniture/equipment"/>
    <x v="0"/>
  </r>
  <r>
    <n v="29"/>
    <x v="4"/>
    <x v="0"/>
    <n v="3"/>
    <x v="2"/>
    <s v="moderate"/>
    <s v="Unknown"/>
    <n v="1901"/>
    <n v="24"/>
    <s v="radio/TV"/>
    <x v="0"/>
  </r>
  <r>
    <n v="23"/>
    <x v="1"/>
    <x v="0"/>
    <n v="2"/>
    <x v="2"/>
    <s v="rich"/>
    <s v="Unknown"/>
    <n v="3368"/>
    <n v="15"/>
    <s v="car"/>
    <x v="0"/>
  </r>
  <r>
    <n v="50"/>
    <x v="2"/>
    <x v="0"/>
    <n v="2"/>
    <x v="0"/>
    <s v="little"/>
    <s v="Unknown"/>
    <n v="1574"/>
    <n v="12"/>
    <s v="furniture/equipment"/>
    <x v="0"/>
  </r>
  <r>
    <n v="49"/>
    <x v="2"/>
    <x v="0"/>
    <n v="1"/>
    <x v="0"/>
    <s v="Unknown"/>
    <s v="rich"/>
    <n v="1445"/>
    <n v="18"/>
    <s v="radio/TV"/>
    <x v="0"/>
  </r>
  <r>
    <n v="63"/>
    <x v="0"/>
    <x v="0"/>
    <n v="2"/>
    <x v="0"/>
    <s v="Unknown"/>
    <s v="Unknown"/>
    <n v="1520"/>
    <n v="15"/>
    <s v="furniture/equipment"/>
    <x v="0"/>
  </r>
  <r>
    <n v="37"/>
    <x v="3"/>
    <x v="0"/>
    <n v="2"/>
    <x v="0"/>
    <s v="moderate"/>
    <s v="moderate"/>
    <n v="3878"/>
    <n v="24"/>
    <s v="car"/>
    <x v="0"/>
  </r>
  <r>
    <n v="35"/>
    <x v="4"/>
    <x v="1"/>
    <n v="1"/>
    <x v="0"/>
    <s v="little"/>
    <s v="little"/>
    <n v="10722"/>
    <n v="47"/>
    <s v="car"/>
    <x v="1"/>
  </r>
  <r>
    <n v="26"/>
    <x v="4"/>
    <x v="0"/>
    <n v="2"/>
    <x v="0"/>
    <s v="little"/>
    <s v="little"/>
    <n v="4788"/>
    <n v="48"/>
    <s v="car"/>
    <x v="0"/>
  </r>
  <r>
    <n v="31"/>
    <x v="4"/>
    <x v="0"/>
    <n v="3"/>
    <x v="1"/>
    <s v="moderate"/>
    <s v="moderate"/>
    <n v="7582"/>
    <n v="48"/>
    <s v="vacation/others"/>
    <x v="0"/>
  </r>
  <r>
    <n v="49"/>
    <x v="2"/>
    <x v="1"/>
    <n v="2"/>
    <x v="0"/>
    <s v="little"/>
    <s v="moderate"/>
    <n v="1092"/>
    <n v="12"/>
    <s v="radio/TV"/>
    <x v="0"/>
  </r>
  <r>
    <n v="48"/>
    <x v="2"/>
    <x v="0"/>
    <n v="2"/>
    <x v="0"/>
    <s v="little"/>
    <s v="little"/>
    <n v="1024"/>
    <n v="24"/>
    <s v="radio/TV"/>
    <x v="0"/>
  </r>
  <r>
    <n v="26"/>
    <x v="4"/>
    <x v="0"/>
    <n v="2"/>
    <x v="0"/>
    <s v="little"/>
    <s v="Unknown"/>
    <n v="1076"/>
    <n v="12"/>
    <s v="business"/>
    <x v="0"/>
  </r>
  <r>
    <n v="28"/>
    <x v="4"/>
    <x v="0"/>
    <n v="3"/>
    <x v="2"/>
    <s v="little"/>
    <s v="moderate"/>
    <n v="9398"/>
    <n v="36"/>
    <s v="car"/>
    <x v="1"/>
  </r>
  <r>
    <n v="44"/>
    <x v="3"/>
    <x v="1"/>
    <n v="3"/>
    <x v="1"/>
    <s v="little"/>
    <s v="little"/>
    <n v="6419"/>
    <n v="24"/>
    <s v="car"/>
    <x v="0"/>
  </r>
  <r>
    <n v="56"/>
    <x v="2"/>
    <x v="0"/>
    <n v="2"/>
    <x v="1"/>
    <s v="little"/>
    <s v="rich"/>
    <n v="4796"/>
    <n v="42"/>
    <s v="car"/>
    <x v="0"/>
  </r>
  <r>
    <n v="46"/>
    <x v="2"/>
    <x v="0"/>
    <n v="3"/>
    <x v="0"/>
    <s v="Unknown"/>
    <s v="Unknown"/>
    <n v="7629"/>
    <n v="48"/>
    <s v="business"/>
    <x v="0"/>
  </r>
  <r>
    <n v="26"/>
    <x v="4"/>
    <x v="1"/>
    <n v="2"/>
    <x v="0"/>
    <s v="little"/>
    <s v="moderate"/>
    <n v="9960"/>
    <n v="48"/>
    <s v="furniture/equipment"/>
    <x v="1"/>
  </r>
  <r>
    <n v="20"/>
    <x v="1"/>
    <x v="1"/>
    <n v="2"/>
    <x v="2"/>
    <s v="Unknown"/>
    <s v="Unknown"/>
    <n v="4675"/>
    <n v="12"/>
    <s v="car"/>
    <x v="0"/>
  </r>
  <r>
    <n v="45"/>
    <x v="3"/>
    <x v="0"/>
    <n v="1"/>
    <x v="0"/>
    <s v="Unknown"/>
    <s v="Unknown"/>
    <n v="1287"/>
    <n v="10"/>
    <s v="car"/>
    <x v="0"/>
  </r>
  <r>
    <n v="43"/>
    <x v="3"/>
    <x v="0"/>
    <n v="2"/>
    <x v="0"/>
    <s v="little"/>
    <s v="Unknown"/>
    <n v="2515"/>
    <n v="18"/>
    <s v="furniture/equipment"/>
    <x v="0"/>
  </r>
  <r>
    <n v="32"/>
    <x v="4"/>
    <x v="0"/>
    <n v="2"/>
    <x v="0"/>
    <s v="rich"/>
    <s v="moderate"/>
    <n v="2745"/>
    <n v="21"/>
    <s v="furniture/equipment"/>
    <x v="0"/>
  </r>
  <r>
    <n v="54"/>
    <x v="2"/>
    <x v="1"/>
    <n v="0"/>
    <x v="0"/>
    <s v="little"/>
    <s v="Unknown"/>
    <n v="672"/>
    <n v="6"/>
    <s v="car"/>
    <x v="0"/>
  </r>
  <r>
    <n v="42"/>
    <x v="3"/>
    <x v="1"/>
    <n v="2"/>
    <x v="0"/>
    <s v="little"/>
    <s v="moderate"/>
    <n v="3804"/>
    <n v="36"/>
    <s v="radio/TV"/>
    <x v="0"/>
  </r>
  <r>
    <n v="37"/>
    <x v="3"/>
    <x v="0"/>
    <n v="1"/>
    <x v="0"/>
    <s v="Unknown"/>
    <s v="rich"/>
    <n v="1344"/>
    <n v="24"/>
    <s v="car"/>
    <x v="0"/>
  </r>
  <r>
    <n v="49"/>
    <x v="2"/>
    <x v="0"/>
    <n v="2"/>
    <x v="0"/>
    <s v="little"/>
    <s v="little"/>
    <n v="1038"/>
    <n v="10"/>
    <s v="car"/>
    <x v="0"/>
  </r>
  <r>
    <n v="44"/>
    <x v="3"/>
    <x v="0"/>
    <n v="2"/>
    <x v="1"/>
    <s v="quite rich"/>
    <s v="Unknown"/>
    <n v="10127"/>
    <n v="48"/>
    <s v="car"/>
    <x v="0"/>
  </r>
  <r>
    <n v="33"/>
    <x v="4"/>
    <x v="0"/>
    <n v="2"/>
    <x v="0"/>
    <s v="rich"/>
    <s v="Unknown"/>
    <n v="1543"/>
    <n v="6"/>
    <s v="furniture/equipment"/>
    <x v="0"/>
  </r>
  <r>
    <n v="24"/>
    <x v="1"/>
    <x v="1"/>
    <n v="1"/>
    <x v="2"/>
    <s v="Unknown"/>
    <s v="Unknown"/>
    <n v="4811"/>
    <n v="30"/>
    <s v="car"/>
    <x v="0"/>
  </r>
  <r>
    <n v="33"/>
    <x v="4"/>
    <x v="0"/>
    <n v="1"/>
    <x v="0"/>
    <s v="moderate"/>
    <s v="little"/>
    <n v="727"/>
    <n v="12"/>
    <s v="radio/TV"/>
    <x v="0"/>
  </r>
  <r>
    <n v="24"/>
    <x v="1"/>
    <x v="1"/>
    <n v="2"/>
    <x v="0"/>
    <s v="little"/>
    <s v="moderate"/>
    <n v="1237"/>
    <n v="8"/>
    <s v="furniture/equipment"/>
    <x v="0"/>
  </r>
  <r>
    <n v="22"/>
    <x v="1"/>
    <x v="0"/>
    <n v="1"/>
    <x v="2"/>
    <s v="little"/>
    <s v="moderate"/>
    <n v="276"/>
    <n v="9"/>
    <s v="car"/>
    <x v="0"/>
  </r>
  <r>
    <n v="40"/>
    <x v="3"/>
    <x v="0"/>
    <n v="0"/>
    <x v="1"/>
    <s v="Unknown"/>
    <s v="moderate"/>
    <n v="5381"/>
    <n v="48"/>
    <s v="vacation/others"/>
    <x v="0"/>
  </r>
  <r>
    <n v="25"/>
    <x v="1"/>
    <x v="0"/>
    <n v="2"/>
    <x v="0"/>
    <s v="moderate"/>
    <s v="Unknown"/>
    <n v="5511"/>
    <n v="24"/>
    <s v="furniture/equipment"/>
    <x v="0"/>
  </r>
  <r>
    <n v="26"/>
    <x v="4"/>
    <x v="1"/>
    <n v="2"/>
    <x v="0"/>
    <s v="little"/>
    <s v="rich"/>
    <n v="3749"/>
    <n v="24"/>
    <s v="furniture/equipment"/>
    <x v="0"/>
  </r>
  <r>
    <n v="25"/>
    <x v="1"/>
    <x v="0"/>
    <n v="1"/>
    <x v="0"/>
    <s v="little"/>
    <s v="moderate"/>
    <n v="685"/>
    <n v="12"/>
    <s v="car"/>
    <x v="0"/>
  </r>
  <r>
    <n v="29"/>
    <x v="4"/>
    <x v="0"/>
    <n v="1"/>
    <x v="0"/>
    <s v="Unknown"/>
    <s v="rich"/>
    <n v="1494"/>
    <n v="4"/>
    <s v="car"/>
    <x v="0"/>
  </r>
  <r>
    <n v="31"/>
    <x v="4"/>
    <x v="0"/>
    <n v="2"/>
    <x v="0"/>
    <s v="little"/>
    <s v="little"/>
    <n v="2746"/>
    <n v="36"/>
    <s v="furniture/equipment"/>
    <x v="0"/>
  </r>
  <r>
    <n v="38"/>
    <x v="3"/>
    <x v="0"/>
    <n v="1"/>
    <x v="0"/>
    <s v="little"/>
    <s v="little"/>
    <n v="708"/>
    <n v="12"/>
    <s v="furniture/equipment"/>
    <x v="0"/>
  </r>
  <r>
    <n v="48"/>
    <x v="2"/>
    <x v="1"/>
    <n v="1"/>
    <x v="0"/>
    <s v="Unknown"/>
    <s v="moderate"/>
    <n v="4351"/>
    <n v="24"/>
    <s v="furniture/equipment"/>
    <x v="0"/>
  </r>
  <r>
    <n v="32"/>
    <x v="4"/>
    <x v="0"/>
    <n v="2"/>
    <x v="0"/>
    <s v="little"/>
    <s v="Unknown"/>
    <n v="701"/>
    <n v="12"/>
    <s v="education"/>
    <x v="0"/>
  </r>
  <r>
    <n v="27"/>
    <x v="4"/>
    <x v="1"/>
    <n v="1"/>
    <x v="0"/>
    <s v="little"/>
    <s v="little"/>
    <n v="3643"/>
    <n v="15"/>
    <s v="furniture/equipment"/>
    <x v="0"/>
  </r>
  <r>
    <n v="28"/>
    <x v="4"/>
    <x v="0"/>
    <n v="3"/>
    <x v="0"/>
    <s v="little"/>
    <s v="moderate"/>
    <n v="4249"/>
    <n v="30"/>
    <s v="car"/>
    <x v="0"/>
  </r>
  <r>
    <n v="32"/>
    <x v="4"/>
    <x v="0"/>
    <n v="2"/>
    <x v="0"/>
    <s v="little"/>
    <s v="little"/>
    <n v="1938"/>
    <n v="24"/>
    <s v="radio/TV"/>
    <x v="0"/>
  </r>
  <r>
    <n v="34"/>
    <x v="4"/>
    <x v="0"/>
    <n v="3"/>
    <x v="1"/>
    <s v="little"/>
    <s v="little"/>
    <n v="2910"/>
    <n v="24"/>
    <s v="car"/>
    <x v="0"/>
  </r>
  <r>
    <n v="28"/>
    <x v="4"/>
    <x v="0"/>
    <n v="2"/>
    <x v="0"/>
    <s v="rich"/>
    <s v="little"/>
    <n v="2659"/>
    <n v="18"/>
    <s v="furniture/equipment"/>
    <x v="0"/>
  </r>
  <r>
    <n v="36"/>
    <x v="3"/>
    <x v="1"/>
    <n v="2"/>
    <x v="0"/>
    <s v="little"/>
    <s v="Unknown"/>
    <n v="1028"/>
    <n v="18"/>
    <s v="car"/>
    <x v="0"/>
  </r>
  <r>
    <n v="39"/>
    <x v="3"/>
    <x v="0"/>
    <n v="1"/>
    <x v="0"/>
    <s v="little"/>
    <s v="little"/>
    <n v="3398"/>
    <n v="8"/>
    <s v="car"/>
    <x v="0"/>
  </r>
  <r>
    <n v="49"/>
    <x v="2"/>
    <x v="0"/>
    <n v="2"/>
    <x v="2"/>
    <s v="Unknown"/>
    <s v="Unknown"/>
    <n v="5801"/>
    <n v="12"/>
    <s v="furniture/equipment"/>
    <x v="0"/>
  </r>
  <r>
    <n v="34"/>
    <x v="4"/>
    <x v="1"/>
    <n v="2"/>
    <x v="0"/>
    <s v="rich"/>
    <s v="Unknown"/>
    <n v="1525"/>
    <n v="24"/>
    <s v="car"/>
    <x v="0"/>
  </r>
  <r>
    <n v="31"/>
    <x v="4"/>
    <x v="0"/>
    <n v="2"/>
    <x v="0"/>
    <s v="little"/>
    <s v="rich"/>
    <n v="4473"/>
    <n v="36"/>
    <s v="radio/TV"/>
    <x v="0"/>
  </r>
  <r>
    <n v="28"/>
    <x v="4"/>
    <x v="0"/>
    <n v="2"/>
    <x v="0"/>
    <s v="little"/>
    <s v="moderate"/>
    <n v="1068"/>
    <n v="6"/>
    <s v="radio/TV"/>
    <x v="0"/>
  </r>
  <r>
    <n v="75"/>
    <x v="0"/>
    <x v="0"/>
    <n v="3"/>
    <x v="1"/>
    <s v="little"/>
    <s v="little"/>
    <n v="6615"/>
    <n v="24"/>
    <s v="car"/>
    <x v="0"/>
  </r>
  <r>
    <n v="30"/>
    <x v="4"/>
    <x v="1"/>
    <n v="2"/>
    <x v="0"/>
    <s v="moderate"/>
    <s v="Unknown"/>
    <n v="1864"/>
    <n v="18"/>
    <s v="education"/>
    <x v="0"/>
  </r>
  <r>
    <n v="24"/>
    <x v="1"/>
    <x v="1"/>
    <n v="3"/>
    <x v="0"/>
    <s v="moderate"/>
    <s v="moderate"/>
    <n v="7408"/>
    <n v="60"/>
    <s v="car"/>
    <x v="0"/>
  </r>
  <r>
    <n v="24"/>
    <x v="1"/>
    <x v="1"/>
    <n v="1"/>
    <x v="2"/>
    <s v="moderate"/>
    <s v="Unknown"/>
    <n v="11590"/>
    <n v="48"/>
    <s v="car"/>
    <x v="0"/>
  </r>
  <r>
    <n v="23"/>
    <x v="1"/>
    <x v="0"/>
    <n v="2"/>
    <x v="2"/>
    <s v="little"/>
    <s v="little"/>
    <n v="4110"/>
    <n v="24"/>
    <s v="furniture/equipment"/>
    <x v="0"/>
  </r>
  <r>
    <n v="44"/>
    <x v="3"/>
    <x v="0"/>
    <n v="3"/>
    <x v="2"/>
    <s v="little"/>
    <s v="little"/>
    <n v="3384"/>
    <n v="6"/>
    <s v="furniture/equipment"/>
    <x v="0"/>
  </r>
  <r>
    <n v="23"/>
    <x v="1"/>
    <x v="1"/>
    <n v="1"/>
    <x v="0"/>
    <s v="little"/>
    <s v="moderate"/>
    <n v="2101"/>
    <n v="13"/>
    <s v="radio/TV"/>
    <x v="0"/>
  </r>
  <r>
    <n v="24"/>
    <x v="1"/>
    <x v="1"/>
    <n v="2"/>
    <x v="2"/>
    <s v="Unknown"/>
    <s v="little"/>
    <n v="1275"/>
    <n v="15"/>
    <s v="domestic appliances"/>
    <x v="0"/>
  </r>
  <r>
    <n v="28"/>
    <x v="4"/>
    <x v="0"/>
    <n v="2"/>
    <x v="0"/>
    <s v="little"/>
    <s v="little"/>
    <n v="4169"/>
    <n v="24"/>
    <s v="furniture/equipment"/>
    <x v="0"/>
  </r>
  <r>
    <n v="31"/>
    <x v="4"/>
    <x v="0"/>
    <n v="1"/>
    <x v="0"/>
    <s v="little"/>
    <s v="moderate"/>
    <n v="1521"/>
    <n v="10"/>
    <s v="furniture/equipment"/>
    <x v="0"/>
  </r>
  <r>
    <n v="24"/>
    <x v="1"/>
    <x v="1"/>
    <n v="2"/>
    <x v="1"/>
    <s v="little"/>
    <s v="moderate"/>
    <n v="5743"/>
    <n v="24"/>
    <s v="education"/>
    <x v="0"/>
  </r>
  <r>
    <n v="26"/>
    <x v="4"/>
    <x v="1"/>
    <n v="1"/>
    <x v="2"/>
    <s v="little"/>
    <s v="little"/>
    <n v="3599"/>
    <n v="21"/>
    <s v="furniture/equipment"/>
    <x v="0"/>
  </r>
  <r>
    <n v="25"/>
    <x v="1"/>
    <x v="0"/>
    <n v="2"/>
    <x v="2"/>
    <s v="quite rich"/>
    <s v="moderate"/>
    <n v="3213"/>
    <n v="18"/>
    <s v="radio/TV"/>
    <x v="0"/>
  </r>
  <r>
    <n v="33"/>
    <x v="4"/>
    <x v="0"/>
    <n v="3"/>
    <x v="0"/>
    <s v="little"/>
    <s v="moderate"/>
    <n v="4439"/>
    <n v="18"/>
    <s v="business"/>
    <x v="0"/>
  </r>
  <r>
    <n v="37"/>
    <x v="3"/>
    <x v="0"/>
    <n v="1"/>
    <x v="0"/>
    <s v="little"/>
    <s v="rich"/>
    <n v="3949"/>
    <n v="10"/>
    <s v="car"/>
    <x v="0"/>
  </r>
  <r>
    <n v="43"/>
    <x v="3"/>
    <x v="1"/>
    <n v="1"/>
    <x v="0"/>
    <s v="little"/>
    <s v="Unknown"/>
    <n v="1459"/>
    <n v="15"/>
    <s v="radio/TV"/>
    <x v="0"/>
  </r>
  <r>
    <n v="23"/>
    <x v="1"/>
    <x v="0"/>
    <n v="2"/>
    <x v="0"/>
    <s v="little"/>
    <s v="moderate"/>
    <n v="882"/>
    <n v="13"/>
    <s v="radio/TV"/>
    <x v="0"/>
  </r>
  <r>
    <n v="23"/>
    <x v="1"/>
    <x v="1"/>
    <n v="0"/>
    <x v="2"/>
    <s v="quite rich"/>
    <s v="moderate"/>
    <n v="3758"/>
    <n v="24"/>
    <s v="radio/TV"/>
    <x v="0"/>
  </r>
  <r>
    <n v="34"/>
    <x v="4"/>
    <x v="0"/>
    <n v="1"/>
    <x v="0"/>
    <s v="moderate"/>
    <s v="Unknown"/>
    <n v="1743"/>
    <n v="6"/>
    <s v="business"/>
    <x v="0"/>
  </r>
  <r>
    <n v="32"/>
    <x v="4"/>
    <x v="0"/>
    <n v="2"/>
    <x v="1"/>
    <s v="rich"/>
    <s v="moderate"/>
    <n v="1136"/>
    <n v="9"/>
    <s v="education"/>
    <x v="0"/>
  </r>
  <r>
    <n v="23"/>
    <x v="1"/>
    <x v="1"/>
    <n v="2"/>
    <x v="2"/>
    <s v="little"/>
    <s v="Unknown"/>
    <n v="1236"/>
    <n v="9"/>
    <s v="domestic appliances"/>
    <x v="0"/>
  </r>
  <r>
    <n v="29"/>
    <x v="4"/>
    <x v="1"/>
    <n v="2"/>
    <x v="0"/>
    <s v="little"/>
    <s v="moderate"/>
    <n v="959"/>
    <n v="9"/>
    <s v="furniture/equipment"/>
    <x v="0"/>
  </r>
  <r>
    <n v="38"/>
    <x v="3"/>
    <x v="0"/>
    <n v="3"/>
    <x v="0"/>
    <s v="Unknown"/>
    <s v="Unknown"/>
    <n v="3229"/>
    <n v="18"/>
    <s v="car"/>
    <x v="0"/>
  </r>
  <r>
    <n v="28"/>
    <x v="4"/>
    <x v="0"/>
    <n v="2"/>
    <x v="2"/>
    <s v="little"/>
    <s v="little"/>
    <n v="6199"/>
    <n v="12"/>
    <s v="radio/TV"/>
    <x v="0"/>
  </r>
  <r>
    <n v="46"/>
    <x v="2"/>
    <x v="0"/>
    <n v="2"/>
    <x v="1"/>
    <s v="quite rich"/>
    <s v="Unknown"/>
    <n v="727"/>
    <n v="10"/>
    <s v="education"/>
    <x v="0"/>
  </r>
  <r>
    <n v="23"/>
    <x v="1"/>
    <x v="0"/>
    <n v="1"/>
    <x v="0"/>
    <s v="little"/>
    <s v="moderate"/>
    <n v="1246"/>
    <n v="24"/>
    <s v="car"/>
    <x v="0"/>
  </r>
  <r>
    <n v="49"/>
    <x v="2"/>
    <x v="0"/>
    <n v="2"/>
    <x v="0"/>
    <s v="Unknown"/>
    <s v="Unknown"/>
    <n v="2331"/>
    <n v="12"/>
    <s v="radio/TV"/>
    <x v="0"/>
  </r>
  <r>
    <n v="26"/>
    <x v="4"/>
    <x v="0"/>
    <n v="3"/>
    <x v="0"/>
    <s v="little"/>
    <s v="Unknown"/>
    <n v="4463"/>
    <n v="36"/>
    <s v="radio/TV"/>
    <x v="0"/>
  </r>
  <r>
    <n v="28"/>
    <x v="4"/>
    <x v="0"/>
    <n v="2"/>
    <x v="0"/>
    <s v="little"/>
    <s v="Unknown"/>
    <n v="776"/>
    <n v="12"/>
    <s v="radio/TV"/>
    <x v="0"/>
  </r>
  <r>
    <n v="23"/>
    <x v="1"/>
    <x v="1"/>
    <n v="2"/>
    <x v="2"/>
    <s v="little"/>
    <s v="little"/>
    <n v="2406"/>
    <n v="30"/>
    <s v="furniture/equipment"/>
    <x v="0"/>
  </r>
  <r>
    <n v="61"/>
    <x v="0"/>
    <x v="0"/>
    <n v="2"/>
    <x v="1"/>
    <s v="Unknown"/>
    <s v="moderate"/>
    <n v="1239"/>
    <n v="18"/>
    <s v="education"/>
    <x v="0"/>
  </r>
  <r>
    <n v="37"/>
    <x v="3"/>
    <x v="0"/>
    <n v="3"/>
    <x v="0"/>
    <s v="Unknown"/>
    <s v="rich"/>
    <n v="3399"/>
    <n v="12"/>
    <s v="radio/TV"/>
    <x v="0"/>
  </r>
  <r>
    <n v="36"/>
    <x v="3"/>
    <x v="1"/>
    <n v="2"/>
    <x v="0"/>
    <s v="little"/>
    <s v="rich"/>
    <n v="2247"/>
    <n v="12"/>
    <s v="car"/>
    <x v="0"/>
  </r>
  <r>
    <n v="21"/>
    <x v="1"/>
    <x v="0"/>
    <n v="2"/>
    <x v="2"/>
    <s v="little"/>
    <s v="Unknown"/>
    <n v="1766"/>
    <n v="6"/>
    <s v="furniture/equipment"/>
    <x v="0"/>
  </r>
  <r>
    <n v="25"/>
    <x v="1"/>
    <x v="0"/>
    <n v="0"/>
    <x v="0"/>
    <s v="little"/>
    <s v="little"/>
    <n v="2473"/>
    <n v="18"/>
    <s v="furniture/equipment"/>
    <x v="0"/>
  </r>
  <r>
    <n v="36"/>
    <x v="3"/>
    <x v="0"/>
    <n v="2"/>
    <x v="0"/>
    <s v="little"/>
    <s v="Unknown"/>
    <n v="1542"/>
    <n v="12"/>
    <s v="business"/>
    <x v="0"/>
  </r>
  <r>
    <n v="27"/>
    <x v="4"/>
    <x v="0"/>
    <n v="2"/>
    <x v="0"/>
    <s v="little"/>
    <s v="Unknown"/>
    <n v="3850"/>
    <n v="18"/>
    <s v="car"/>
    <x v="0"/>
  </r>
  <r>
    <n v="22"/>
    <x v="1"/>
    <x v="1"/>
    <n v="2"/>
    <x v="2"/>
    <s v="little"/>
    <s v="little"/>
    <n v="3650"/>
    <n v="18"/>
    <s v="furniture/equipment"/>
    <x v="0"/>
  </r>
  <r>
    <n v="42"/>
    <x v="3"/>
    <x v="0"/>
    <n v="2"/>
    <x v="0"/>
    <s v="little"/>
    <s v="little"/>
    <n v="3446"/>
    <n v="36"/>
    <s v="furniture/equipment"/>
    <x v="0"/>
  </r>
  <r>
    <n v="40"/>
    <x v="3"/>
    <x v="1"/>
    <n v="2"/>
    <x v="2"/>
    <s v="little"/>
    <s v="moderate"/>
    <n v="3001"/>
    <n v="18"/>
    <s v="furniture/equipment"/>
    <x v="0"/>
  </r>
  <r>
    <n v="36"/>
    <x v="3"/>
    <x v="0"/>
    <n v="2"/>
    <x v="0"/>
    <s v="Unknown"/>
    <s v="Unknown"/>
    <n v="3079"/>
    <n v="36"/>
    <s v="car"/>
    <x v="0"/>
  </r>
  <r>
    <n v="33"/>
    <x v="4"/>
    <x v="0"/>
    <n v="2"/>
    <x v="0"/>
    <s v="little"/>
    <s v="Unknown"/>
    <n v="6070"/>
    <n v="18"/>
    <s v="radio/TV"/>
    <x v="0"/>
  </r>
  <r>
    <n v="23"/>
    <x v="1"/>
    <x v="1"/>
    <n v="2"/>
    <x v="2"/>
    <s v="little"/>
    <s v="Unknown"/>
    <n v="2146"/>
    <n v="10"/>
    <s v="furniture/equipment"/>
    <x v="0"/>
  </r>
  <r>
    <n v="63"/>
    <x v="0"/>
    <x v="0"/>
    <n v="3"/>
    <x v="1"/>
    <s v="Unknown"/>
    <s v="Unknown"/>
    <n v="13756"/>
    <n v="60"/>
    <s v="car"/>
    <x v="0"/>
  </r>
  <r>
    <n v="60"/>
    <x v="2"/>
    <x v="1"/>
    <n v="3"/>
    <x v="1"/>
    <s v="moderate"/>
    <s v="moderate"/>
    <n v="14782"/>
    <n v="60"/>
    <s v="vacation/others"/>
    <x v="0"/>
  </r>
  <r>
    <n v="37"/>
    <x v="3"/>
    <x v="1"/>
    <n v="2"/>
    <x v="2"/>
    <s v="little"/>
    <s v="little"/>
    <n v="7685"/>
    <n v="48"/>
    <s v="business"/>
    <x v="0"/>
  </r>
  <r>
    <n v="34"/>
    <x v="4"/>
    <x v="0"/>
    <n v="2"/>
    <x v="0"/>
    <s v="little"/>
    <s v="Unknown"/>
    <n v="2320"/>
    <n v="18"/>
    <s v="radio/TV"/>
    <x v="0"/>
  </r>
  <r>
    <n v="36"/>
    <x v="3"/>
    <x v="0"/>
    <n v="2"/>
    <x v="1"/>
    <s v="Unknown"/>
    <s v="Unknown"/>
    <n v="846"/>
    <n v="7"/>
    <s v="radio/TV"/>
    <x v="0"/>
  </r>
  <r>
    <n v="57"/>
    <x v="2"/>
    <x v="0"/>
    <n v="3"/>
    <x v="1"/>
    <s v="little"/>
    <s v="moderate"/>
    <n v="14318"/>
    <n v="36"/>
    <s v="car"/>
    <x v="1"/>
  </r>
  <r>
    <n v="52"/>
    <x v="2"/>
    <x v="1"/>
    <n v="1"/>
    <x v="0"/>
    <s v="moderate"/>
    <s v="Unknown"/>
    <n v="362"/>
    <n v="6"/>
    <s v="car"/>
    <x v="0"/>
  </r>
  <r>
    <n v="39"/>
    <x v="3"/>
    <x v="0"/>
    <n v="2"/>
    <x v="0"/>
    <s v="Unknown"/>
    <s v="little"/>
    <n v="2212"/>
    <n v="20"/>
    <s v="furniture/equipment"/>
    <x v="0"/>
  </r>
  <r>
    <n v="38"/>
    <x v="3"/>
    <x v="1"/>
    <n v="3"/>
    <x v="1"/>
    <s v="little"/>
    <s v="moderate"/>
    <n v="12976"/>
    <n v="18"/>
    <s v="car"/>
    <x v="1"/>
  </r>
  <r>
    <n v="25"/>
    <x v="1"/>
    <x v="1"/>
    <n v="2"/>
    <x v="2"/>
    <s v="Unknown"/>
    <s v="Unknown"/>
    <n v="1283"/>
    <n v="22"/>
    <s v="car"/>
    <x v="0"/>
  </r>
  <r>
    <n v="26"/>
    <x v="4"/>
    <x v="0"/>
    <n v="2"/>
    <x v="0"/>
    <s v="little"/>
    <s v="rich"/>
    <n v="1330"/>
    <n v="12"/>
    <s v="car"/>
    <x v="0"/>
  </r>
  <r>
    <n v="26"/>
    <x v="4"/>
    <x v="0"/>
    <n v="1"/>
    <x v="0"/>
    <s v="moderate"/>
    <s v="Unknown"/>
    <n v="4272"/>
    <n v="30"/>
    <s v="business"/>
    <x v="0"/>
  </r>
  <r>
    <n v="25"/>
    <x v="1"/>
    <x v="1"/>
    <n v="2"/>
    <x v="0"/>
    <s v="little"/>
    <s v="Unknown"/>
    <n v="2238"/>
    <n v="18"/>
    <s v="radio/TV"/>
    <x v="0"/>
  </r>
  <r>
    <n v="21"/>
    <x v="1"/>
    <x v="1"/>
    <n v="2"/>
    <x v="2"/>
    <s v="Unknown"/>
    <s v="Unknown"/>
    <n v="1126"/>
    <n v="18"/>
    <s v="radio/TV"/>
    <x v="0"/>
  </r>
  <r>
    <n v="40"/>
    <x v="3"/>
    <x v="0"/>
    <n v="3"/>
    <x v="0"/>
    <s v="little"/>
    <s v="moderate"/>
    <n v="7374"/>
    <n v="18"/>
    <s v="furniture/equipment"/>
    <x v="0"/>
  </r>
  <r>
    <n v="27"/>
    <x v="4"/>
    <x v="0"/>
    <n v="2"/>
    <x v="0"/>
    <s v="quite rich"/>
    <s v="moderate"/>
    <n v="2326"/>
    <n v="15"/>
    <s v="business"/>
    <x v="0"/>
  </r>
  <r>
    <n v="27"/>
    <x v="4"/>
    <x v="1"/>
    <n v="2"/>
    <x v="0"/>
    <s v="little"/>
    <s v="Unknown"/>
    <n v="1449"/>
    <n v="9"/>
    <s v="business"/>
    <x v="0"/>
  </r>
  <r>
    <n v="30"/>
    <x v="4"/>
    <x v="0"/>
    <n v="3"/>
    <x v="0"/>
    <s v="little"/>
    <s v="Unknown"/>
    <n v="1820"/>
    <n v="18"/>
    <s v="car"/>
    <x v="0"/>
  </r>
  <r>
    <n v="19"/>
    <x v="1"/>
    <x v="1"/>
    <n v="1"/>
    <x v="2"/>
    <s v="rich"/>
    <s v="moderate"/>
    <n v="983"/>
    <n v="12"/>
    <s v="furniture/equipment"/>
    <x v="0"/>
  </r>
  <r>
    <n v="39"/>
    <x v="3"/>
    <x v="0"/>
    <n v="3"/>
    <x v="1"/>
    <s v="little"/>
    <s v="little"/>
    <n v="3249"/>
    <n v="36"/>
    <s v="car"/>
    <x v="0"/>
  </r>
  <r>
    <n v="31"/>
    <x v="4"/>
    <x v="1"/>
    <n v="2"/>
    <x v="0"/>
    <s v="little"/>
    <s v="little"/>
    <n v="1957"/>
    <n v="6"/>
    <s v="radio/TV"/>
    <x v="0"/>
  </r>
  <r>
    <n v="31"/>
    <x v="4"/>
    <x v="0"/>
    <n v="3"/>
    <x v="0"/>
    <s v="little"/>
    <s v="Unknown"/>
    <n v="2406"/>
    <n v="9"/>
    <s v="furniture/equipment"/>
    <x v="0"/>
  </r>
  <r>
    <n v="32"/>
    <x v="4"/>
    <x v="0"/>
    <n v="2"/>
    <x v="2"/>
    <s v="moderate"/>
    <s v="moderate"/>
    <n v="11760"/>
    <n v="39"/>
    <s v="education"/>
    <x v="0"/>
  </r>
  <r>
    <n v="55"/>
    <x v="2"/>
    <x v="1"/>
    <n v="3"/>
    <x v="1"/>
    <s v="little"/>
    <s v="little"/>
    <n v="2578"/>
    <n v="12"/>
    <s v="furniture/equipment"/>
    <x v="0"/>
  </r>
  <r>
    <n v="46"/>
    <x v="2"/>
    <x v="0"/>
    <n v="2"/>
    <x v="0"/>
    <s v="little"/>
    <s v="little"/>
    <n v="2348"/>
    <n v="36"/>
    <s v="furniture/equipment"/>
    <x v="0"/>
  </r>
  <r>
    <n v="46"/>
    <x v="2"/>
    <x v="0"/>
    <n v="2"/>
    <x v="2"/>
    <s v="little"/>
    <s v="moderate"/>
    <n v="1223"/>
    <n v="12"/>
    <s v="car"/>
    <x v="0"/>
  </r>
  <r>
    <n v="43"/>
    <x v="3"/>
    <x v="1"/>
    <n v="1"/>
    <x v="0"/>
    <s v="rich"/>
    <s v="Unknown"/>
    <n v="1516"/>
    <n v="24"/>
    <s v="radio/TV"/>
    <x v="0"/>
  </r>
  <r>
    <n v="39"/>
    <x v="3"/>
    <x v="0"/>
    <n v="2"/>
    <x v="0"/>
    <s v="little"/>
    <s v="Unknown"/>
    <n v="1473"/>
    <n v="18"/>
    <s v="radio/TV"/>
    <x v="0"/>
  </r>
  <r>
    <n v="28"/>
    <x v="4"/>
    <x v="0"/>
    <n v="2"/>
    <x v="0"/>
    <s v="Unknown"/>
    <s v="moderate"/>
    <n v="1887"/>
    <n v="18"/>
    <s v="business"/>
    <x v="0"/>
  </r>
  <r>
    <n v="27"/>
    <x v="4"/>
    <x v="0"/>
    <n v="2"/>
    <x v="0"/>
    <s v="little"/>
    <s v="Unknown"/>
    <n v="8648"/>
    <n v="24"/>
    <s v="business"/>
    <x v="0"/>
  </r>
  <r>
    <n v="27"/>
    <x v="4"/>
    <x v="0"/>
    <n v="1"/>
    <x v="0"/>
    <s v="little"/>
    <s v="Unknown"/>
    <n v="802"/>
    <n v="14"/>
    <s v="car"/>
    <x v="0"/>
  </r>
  <r>
    <n v="43"/>
    <x v="3"/>
    <x v="0"/>
    <n v="2"/>
    <x v="0"/>
    <s v="Unknown"/>
    <s v="moderate"/>
    <n v="2899"/>
    <n v="18"/>
    <s v="car"/>
    <x v="0"/>
  </r>
  <r>
    <n v="22"/>
    <x v="1"/>
    <x v="0"/>
    <n v="2"/>
    <x v="0"/>
    <s v="little"/>
    <s v="moderate"/>
    <n v="2039"/>
    <n v="24"/>
    <s v="radio/TV"/>
    <x v="0"/>
  </r>
  <r>
    <n v="43"/>
    <x v="3"/>
    <x v="0"/>
    <n v="2"/>
    <x v="0"/>
    <s v="Unknown"/>
    <s v="Unknown"/>
    <n v="2197"/>
    <n v="24"/>
    <s v="car"/>
    <x v="0"/>
  </r>
  <r>
    <n v="27"/>
    <x v="4"/>
    <x v="0"/>
    <n v="2"/>
    <x v="0"/>
    <s v="little"/>
    <s v="little"/>
    <n v="1053"/>
    <n v="15"/>
    <s v="radio/TV"/>
    <x v="0"/>
  </r>
  <r>
    <n v="26"/>
    <x v="4"/>
    <x v="0"/>
    <n v="3"/>
    <x v="0"/>
    <s v="quite rich"/>
    <s v="Unknown"/>
    <n v="3235"/>
    <n v="24"/>
    <s v="radio/TV"/>
    <x v="0"/>
  </r>
  <r>
    <n v="28"/>
    <x v="4"/>
    <x v="0"/>
    <n v="2"/>
    <x v="0"/>
    <s v="quite rich"/>
    <s v="rich"/>
    <n v="939"/>
    <n v="12"/>
    <s v="car"/>
    <x v="0"/>
  </r>
  <r>
    <n v="20"/>
    <x v="1"/>
    <x v="1"/>
    <n v="2"/>
    <x v="0"/>
    <s v="little"/>
    <s v="moderate"/>
    <n v="1967"/>
    <n v="24"/>
    <s v="radio/TV"/>
    <x v="0"/>
  </r>
  <r>
    <n v="35"/>
    <x v="4"/>
    <x v="0"/>
    <n v="3"/>
    <x v="0"/>
    <s v="little"/>
    <s v="Unknown"/>
    <n v="7253"/>
    <n v="33"/>
    <s v="car"/>
    <x v="0"/>
  </r>
  <r>
    <n v="42"/>
    <x v="3"/>
    <x v="0"/>
    <n v="3"/>
    <x v="0"/>
    <s v="little"/>
    <s v="Unknown"/>
    <n v="2292"/>
    <n v="12"/>
    <s v="business"/>
    <x v="0"/>
  </r>
  <r>
    <n v="40"/>
    <x v="3"/>
    <x v="0"/>
    <n v="1"/>
    <x v="2"/>
    <s v="quite rich"/>
    <s v="Unknown"/>
    <n v="1597"/>
    <n v="10"/>
    <s v="car"/>
    <x v="0"/>
  </r>
  <r>
    <n v="35"/>
    <x v="4"/>
    <x v="1"/>
    <n v="2"/>
    <x v="0"/>
    <s v="Unknown"/>
    <s v="little"/>
    <n v="1381"/>
    <n v="24"/>
    <s v="car"/>
    <x v="0"/>
  </r>
  <r>
    <n v="35"/>
    <x v="4"/>
    <x v="0"/>
    <n v="2"/>
    <x v="0"/>
    <s v="little"/>
    <s v="Unknown"/>
    <n v="5842"/>
    <n v="36"/>
    <s v="car"/>
    <x v="0"/>
  </r>
  <r>
    <n v="33"/>
    <x v="4"/>
    <x v="0"/>
    <n v="1"/>
    <x v="0"/>
    <s v="little"/>
    <s v="little"/>
    <n v="2579"/>
    <n v="12"/>
    <s v="car"/>
    <x v="0"/>
  </r>
  <r>
    <n v="23"/>
    <x v="1"/>
    <x v="1"/>
    <n v="2"/>
    <x v="2"/>
    <s v="Unknown"/>
    <s v="little"/>
    <n v="8471"/>
    <n v="18"/>
    <s v="education"/>
    <x v="0"/>
  </r>
  <r>
    <n v="31"/>
    <x v="4"/>
    <x v="1"/>
    <n v="3"/>
    <x v="0"/>
    <s v="quite rich"/>
    <s v="Unknown"/>
    <n v="2782"/>
    <n v="21"/>
    <s v="car"/>
    <x v="0"/>
  </r>
  <r>
    <n v="33"/>
    <x v="4"/>
    <x v="1"/>
    <n v="2"/>
    <x v="0"/>
    <s v="Unknown"/>
    <s v="moderate"/>
    <n v="1042"/>
    <n v="18"/>
    <s v="car"/>
    <x v="0"/>
  </r>
  <r>
    <n v="20"/>
    <x v="1"/>
    <x v="1"/>
    <n v="2"/>
    <x v="2"/>
    <s v="rich"/>
    <s v="Unknown"/>
    <n v="3186"/>
    <n v="15"/>
    <s v="car"/>
    <x v="0"/>
  </r>
  <r>
    <n v="30"/>
    <x v="4"/>
    <x v="0"/>
    <n v="2"/>
    <x v="0"/>
    <s v="Unknown"/>
    <s v="moderate"/>
    <n v="2028"/>
    <n v="12"/>
    <s v="car"/>
    <x v="0"/>
  </r>
  <r>
    <n v="47"/>
    <x v="2"/>
    <x v="0"/>
    <n v="1"/>
    <x v="0"/>
    <s v="little"/>
    <s v="moderate"/>
    <n v="958"/>
    <n v="12"/>
    <s v="car"/>
    <x v="0"/>
  </r>
  <r>
    <n v="34"/>
    <x v="4"/>
    <x v="0"/>
    <n v="3"/>
    <x v="0"/>
    <s v="moderate"/>
    <s v="Unknown"/>
    <n v="1591"/>
    <n v="21"/>
    <s v="furniture/equipment"/>
    <x v="0"/>
  </r>
  <r>
    <n v="25"/>
    <x v="1"/>
    <x v="1"/>
    <n v="2"/>
    <x v="0"/>
    <s v="Unknown"/>
    <s v="moderate"/>
    <n v="2762"/>
    <n v="12"/>
    <s v="furniture/equipment"/>
    <x v="0"/>
  </r>
  <r>
    <n v="21"/>
    <x v="1"/>
    <x v="0"/>
    <n v="2"/>
    <x v="2"/>
    <s v="little"/>
    <s v="moderate"/>
    <n v="2779"/>
    <n v="18"/>
    <s v="car"/>
    <x v="0"/>
  </r>
  <r>
    <n v="29"/>
    <x v="4"/>
    <x v="0"/>
    <n v="2"/>
    <x v="0"/>
    <s v="little"/>
    <s v="Unknown"/>
    <n v="2743"/>
    <n v="28"/>
    <s v="radio/TV"/>
    <x v="0"/>
  </r>
  <r>
    <n v="46"/>
    <x v="2"/>
    <x v="0"/>
    <n v="2"/>
    <x v="0"/>
    <s v="rich"/>
    <s v="Unknown"/>
    <n v="1149"/>
    <n v="18"/>
    <s v="radio/TV"/>
    <x v="0"/>
  </r>
  <r>
    <n v="20"/>
    <x v="1"/>
    <x v="0"/>
    <n v="2"/>
    <x v="0"/>
    <s v="little"/>
    <s v="Unknown"/>
    <n v="1313"/>
    <n v="9"/>
    <s v="furniture/equipment"/>
    <x v="0"/>
  </r>
  <r>
    <n v="55"/>
    <x v="2"/>
    <x v="1"/>
    <n v="0"/>
    <x v="1"/>
    <s v="little"/>
    <s v="little"/>
    <n v="1190"/>
    <n v="18"/>
    <s v="repairs"/>
    <x v="0"/>
  </r>
  <r>
    <n v="74"/>
    <x v="0"/>
    <x v="0"/>
    <n v="1"/>
    <x v="0"/>
    <s v="little"/>
    <s v="Unknown"/>
    <n v="3448"/>
    <n v="5"/>
    <s v="business"/>
    <x v="0"/>
  </r>
  <r>
    <n v="29"/>
    <x v="4"/>
    <x v="0"/>
    <n v="3"/>
    <x v="0"/>
    <s v="little"/>
    <s v="moderate"/>
    <n v="11328"/>
    <n v="24"/>
    <s v="vacation/others"/>
    <x v="1"/>
  </r>
  <r>
    <n v="36"/>
    <x v="3"/>
    <x v="0"/>
    <n v="3"/>
    <x v="1"/>
    <s v="little"/>
    <s v="little"/>
    <n v="1872"/>
    <n v="6"/>
    <s v="furniture/equipment"/>
    <x v="0"/>
  </r>
  <r>
    <n v="33"/>
    <x v="4"/>
    <x v="0"/>
    <n v="2"/>
    <x v="0"/>
    <s v="little"/>
    <s v="Unknown"/>
    <n v="2058"/>
    <n v="24"/>
    <s v="repairs"/>
    <x v="0"/>
  </r>
  <r>
    <n v="25"/>
    <x v="1"/>
    <x v="0"/>
    <n v="2"/>
    <x v="0"/>
    <s v="little"/>
    <s v="little"/>
    <n v="2136"/>
    <n v="9"/>
    <s v="furniture/equipment"/>
    <x v="0"/>
  </r>
  <r>
    <n v="25"/>
    <x v="1"/>
    <x v="0"/>
    <n v="2"/>
    <x v="0"/>
    <s v="Unknown"/>
    <s v="moderate"/>
    <n v="1484"/>
    <n v="12"/>
    <s v="radio/TV"/>
    <x v="0"/>
  </r>
  <r>
    <n v="23"/>
    <x v="1"/>
    <x v="0"/>
    <n v="1"/>
    <x v="2"/>
    <s v="quite rich"/>
    <s v="Unknown"/>
    <n v="660"/>
    <n v="6"/>
    <s v="repairs"/>
    <x v="0"/>
  </r>
  <r>
    <n v="37"/>
    <x v="3"/>
    <x v="1"/>
    <n v="2"/>
    <x v="0"/>
    <s v="rich"/>
    <s v="Unknown"/>
    <n v="1287"/>
    <n v="24"/>
    <s v="car"/>
    <x v="0"/>
  </r>
  <r>
    <n v="65"/>
    <x v="0"/>
    <x v="0"/>
    <n v="0"/>
    <x v="0"/>
    <s v="little"/>
    <s v="little"/>
    <n v="3394"/>
    <n v="42"/>
    <s v="repairs"/>
    <x v="0"/>
  </r>
  <r>
    <n v="26"/>
    <x v="4"/>
    <x v="1"/>
    <n v="0"/>
    <x v="0"/>
    <s v="little"/>
    <s v="rich"/>
    <n v="609"/>
    <n v="12"/>
    <s v="business"/>
    <x v="0"/>
  </r>
  <r>
    <n v="39"/>
    <x v="3"/>
    <x v="0"/>
    <n v="3"/>
    <x v="0"/>
    <s v="little"/>
    <s v="Unknown"/>
    <n v="1884"/>
    <n v="12"/>
    <s v="car"/>
    <x v="0"/>
  </r>
  <r>
    <n v="30"/>
    <x v="4"/>
    <x v="1"/>
    <n v="2"/>
    <x v="0"/>
    <s v="little"/>
    <s v="little"/>
    <n v="1620"/>
    <n v="12"/>
    <s v="furniture/equipment"/>
    <x v="0"/>
  </r>
  <r>
    <n v="29"/>
    <x v="4"/>
    <x v="0"/>
    <n v="2"/>
    <x v="0"/>
    <s v="little"/>
    <s v="moderate"/>
    <n v="2629"/>
    <n v="20"/>
    <s v="vacation/others"/>
    <x v="0"/>
  </r>
  <r>
    <n v="41"/>
    <x v="3"/>
    <x v="0"/>
    <n v="1"/>
    <x v="0"/>
    <s v="little"/>
    <s v="Unknown"/>
    <n v="719"/>
    <n v="12"/>
    <s v="education"/>
    <x v="0"/>
  </r>
  <r>
    <n v="30"/>
    <x v="4"/>
    <x v="1"/>
    <n v="3"/>
    <x v="0"/>
    <s v="little"/>
    <s v="moderate"/>
    <n v="5096"/>
    <n v="48"/>
    <s v="furniture/equipment"/>
    <x v="0"/>
  </r>
  <r>
    <n v="41"/>
    <x v="3"/>
    <x v="1"/>
    <n v="1"/>
    <x v="2"/>
    <s v="Unknown"/>
    <s v="Unknown"/>
    <n v="1244"/>
    <n v="9"/>
    <s v="education"/>
    <x v="0"/>
  </r>
  <r>
    <n v="34"/>
    <x v="4"/>
    <x v="1"/>
    <n v="2"/>
    <x v="0"/>
    <s v="little"/>
    <s v="little"/>
    <n v="1842"/>
    <n v="36"/>
    <s v="car"/>
    <x v="0"/>
  </r>
  <r>
    <n v="35"/>
    <x v="4"/>
    <x v="0"/>
    <n v="2"/>
    <x v="0"/>
    <s v="little"/>
    <s v="moderate"/>
    <n v="2576"/>
    <n v="7"/>
    <s v="radio/TV"/>
    <x v="0"/>
  </r>
  <r>
    <n v="55"/>
    <x v="2"/>
    <x v="1"/>
    <n v="3"/>
    <x v="0"/>
    <s v="Unknown"/>
    <s v="rich"/>
    <n v="1424"/>
    <n v="12"/>
    <s v="furniture/equipment"/>
    <x v="0"/>
  </r>
  <r>
    <n v="61"/>
    <x v="0"/>
    <x v="0"/>
    <n v="2"/>
    <x v="0"/>
    <s v="rich"/>
    <s v="moderate"/>
    <n v="1512"/>
    <n v="15"/>
    <s v="repairs"/>
    <x v="0"/>
  </r>
  <r>
    <n v="30"/>
    <x v="4"/>
    <x v="0"/>
    <n v="3"/>
    <x v="0"/>
    <s v="Unknown"/>
    <s v="Unknown"/>
    <n v="11054"/>
    <n v="36"/>
    <s v="car"/>
    <x v="0"/>
  </r>
  <r>
    <n v="29"/>
    <x v="4"/>
    <x v="1"/>
    <n v="2"/>
    <x v="0"/>
    <s v="little"/>
    <s v="Unknown"/>
    <n v="518"/>
    <n v="6"/>
    <s v="radio/TV"/>
    <x v="0"/>
  </r>
  <r>
    <n v="34"/>
    <x v="4"/>
    <x v="0"/>
    <n v="2"/>
    <x v="0"/>
    <s v="little"/>
    <s v="Unknown"/>
    <n v="2759"/>
    <n v="12"/>
    <s v="furniture/equipment"/>
    <x v="0"/>
  </r>
  <r>
    <n v="35"/>
    <x v="4"/>
    <x v="0"/>
    <n v="3"/>
    <x v="0"/>
    <s v="little"/>
    <s v="Unknown"/>
    <n v="2670"/>
    <n v="24"/>
    <s v="car"/>
    <x v="0"/>
  </r>
  <r>
    <n v="31"/>
    <x v="4"/>
    <x v="0"/>
    <n v="2"/>
    <x v="0"/>
    <s v="little"/>
    <s v="little"/>
    <n v="4817"/>
    <n v="24"/>
    <s v="car"/>
    <x v="0"/>
  </r>
  <r>
    <n v="29"/>
    <x v="4"/>
    <x v="1"/>
    <n v="3"/>
    <x v="0"/>
    <s v="little"/>
    <s v="Unknown"/>
    <n v="2679"/>
    <n v="24"/>
    <s v="car"/>
    <x v="0"/>
  </r>
  <r>
    <n v="36"/>
    <x v="3"/>
    <x v="0"/>
    <n v="2"/>
    <x v="2"/>
    <s v="little"/>
    <s v="little"/>
    <n v="3905"/>
    <n v="11"/>
    <s v="car"/>
    <x v="0"/>
  </r>
  <r>
    <n v="35"/>
    <x v="4"/>
    <x v="0"/>
    <n v="2"/>
    <x v="1"/>
    <s v="little"/>
    <s v="little"/>
    <n v="3386"/>
    <n v="12"/>
    <s v="car"/>
    <x v="0"/>
  </r>
  <r>
    <n v="27"/>
    <x v="4"/>
    <x v="1"/>
    <n v="2"/>
    <x v="0"/>
    <s v="little"/>
    <s v="little"/>
    <n v="343"/>
    <n v="6"/>
    <s v="domestic appliances"/>
    <x v="0"/>
  </r>
  <r>
    <n v="32"/>
    <x v="4"/>
    <x v="0"/>
    <n v="2"/>
    <x v="0"/>
    <s v="little"/>
    <s v="Unknown"/>
    <n v="4594"/>
    <n v="18"/>
    <s v="radio/TV"/>
    <x v="0"/>
  </r>
  <r>
    <n v="37"/>
    <x v="3"/>
    <x v="0"/>
    <n v="2"/>
    <x v="0"/>
    <s v="little"/>
    <s v="little"/>
    <n v="3620"/>
    <n v="36"/>
    <s v="furniture/equipment"/>
    <x v="0"/>
  </r>
  <r>
    <n v="36"/>
    <x v="3"/>
    <x v="0"/>
    <n v="2"/>
    <x v="0"/>
    <s v="little"/>
    <s v="little"/>
    <n v="1721"/>
    <n v="15"/>
    <s v="car"/>
    <x v="0"/>
  </r>
  <r>
    <n v="34"/>
    <x v="4"/>
    <x v="1"/>
    <n v="3"/>
    <x v="2"/>
    <s v="little"/>
    <s v="moderate"/>
    <n v="3017"/>
    <n v="12"/>
    <s v="furniture/equipment"/>
    <x v="0"/>
  </r>
  <r>
    <n v="38"/>
    <x v="3"/>
    <x v="0"/>
    <n v="2"/>
    <x v="0"/>
    <s v="Unknown"/>
    <s v="moderate"/>
    <n v="754"/>
    <n v="12"/>
    <s v="education"/>
    <x v="0"/>
  </r>
  <r>
    <n v="34"/>
    <x v="4"/>
    <x v="0"/>
    <n v="2"/>
    <x v="0"/>
    <s v="little"/>
    <s v="Unknown"/>
    <n v="1950"/>
    <n v="18"/>
    <s v="business"/>
    <x v="0"/>
  </r>
  <r>
    <n v="63"/>
    <x v="0"/>
    <x v="0"/>
    <n v="2"/>
    <x v="0"/>
    <s v="little"/>
    <s v="little"/>
    <n v="2924"/>
    <n v="24"/>
    <s v="car"/>
    <x v="0"/>
  </r>
  <r>
    <n v="29"/>
    <x v="4"/>
    <x v="1"/>
    <n v="1"/>
    <x v="2"/>
    <s v="little"/>
    <s v="little"/>
    <n v="1659"/>
    <n v="24"/>
    <s v="radio/TV"/>
    <x v="0"/>
  </r>
  <r>
    <n v="32"/>
    <x v="4"/>
    <x v="0"/>
    <n v="2"/>
    <x v="0"/>
    <s v="Unknown"/>
    <s v="Unknown"/>
    <n v="7238"/>
    <n v="48"/>
    <s v="radio/TV"/>
    <x v="0"/>
  </r>
  <r>
    <n v="26"/>
    <x v="4"/>
    <x v="1"/>
    <n v="2"/>
    <x v="0"/>
    <s v="little"/>
    <s v="Unknown"/>
    <n v="2764"/>
    <n v="33"/>
    <s v="business"/>
    <x v="0"/>
  </r>
  <r>
    <n v="35"/>
    <x v="4"/>
    <x v="0"/>
    <n v="1"/>
    <x v="0"/>
    <s v="little"/>
    <s v="Unknown"/>
    <n v="4679"/>
    <n v="24"/>
    <s v="car"/>
    <x v="0"/>
  </r>
  <r>
    <n v="22"/>
    <x v="1"/>
    <x v="0"/>
    <n v="2"/>
    <x v="2"/>
    <s v="moderate"/>
    <s v="moderate"/>
    <n v="3092"/>
    <n v="24"/>
    <s v="radio/TV"/>
    <x v="0"/>
  </r>
  <r>
    <n v="23"/>
    <x v="1"/>
    <x v="1"/>
    <n v="2"/>
    <x v="0"/>
    <s v="little"/>
    <s v="little"/>
    <n v="448"/>
    <n v="6"/>
    <s v="education"/>
    <x v="0"/>
  </r>
  <r>
    <n v="28"/>
    <x v="4"/>
    <x v="0"/>
    <n v="1"/>
    <x v="0"/>
    <s v="little"/>
    <s v="little"/>
    <n v="654"/>
    <n v="9"/>
    <s v="car"/>
    <x v="0"/>
  </r>
  <r>
    <n v="36"/>
    <x v="3"/>
    <x v="0"/>
    <n v="3"/>
    <x v="0"/>
    <s v="Unknown"/>
    <s v="Unknown"/>
    <n v="1238"/>
    <n v="6"/>
    <s v="education"/>
    <x v="0"/>
  </r>
  <r>
    <n v="33"/>
    <x v="4"/>
    <x v="0"/>
    <n v="2"/>
    <x v="0"/>
    <s v="little"/>
    <s v="moderate"/>
    <n v="1245"/>
    <n v="18"/>
    <s v="radio/TV"/>
    <x v="0"/>
  </r>
  <r>
    <n v="26"/>
    <x v="4"/>
    <x v="1"/>
    <n v="2"/>
    <x v="2"/>
    <s v="little"/>
    <s v="little"/>
    <n v="3114"/>
    <n v="18"/>
    <s v="furniture/equipment"/>
    <x v="0"/>
  </r>
  <r>
    <n v="24"/>
    <x v="1"/>
    <x v="0"/>
    <n v="2"/>
    <x v="0"/>
    <s v="quite rich"/>
    <s v="Unknown"/>
    <n v="2569"/>
    <n v="39"/>
    <s v="car"/>
    <x v="0"/>
  </r>
  <r>
    <n v="25"/>
    <x v="1"/>
    <x v="0"/>
    <n v="2"/>
    <x v="0"/>
    <s v="little"/>
    <s v="rich"/>
    <n v="5152"/>
    <n v="24"/>
    <s v="radio/TV"/>
    <x v="0"/>
  </r>
  <r>
    <n v="39"/>
    <x v="3"/>
    <x v="0"/>
    <n v="1"/>
    <x v="0"/>
    <s v="moderate"/>
    <s v="moderate"/>
    <n v="1037"/>
    <n v="12"/>
    <s v="business"/>
    <x v="0"/>
  </r>
  <r>
    <n v="44"/>
    <x v="3"/>
    <x v="0"/>
    <n v="2"/>
    <x v="0"/>
    <s v="little"/>
    <s v="little"/>
    <n v="1478"/>
    <n v="15"/>
    <s v="furniture/equipment"/>
    <x v="0"/>
  </r>
  <r>
    <n v="23"/>
    <x v="1"/>
    <x v="1"/>
    <n v="1"/>
    <x v="0"/>
    <s v="little"/>
    <s v="moderate"/>
    <n v="3573"/>
    <n v="12"/>
    <s v="radio/TV"/>
    <x v="0"/>
  </r>
  <r>
    <n v="26"/>
    <x v="4"/>
    <x v="0"/>
    <n v="2"/>
    <x v="0"/>
    <s v="little"/>
    <s v="moderate"/>
    <n v="1201"/>
    <n v="24"/>
    <s v="car"/>
    <x v="0"/>
  </r>
  <r>
    <n v="57"/>
    <x v="2"/>
    <x v="1"/>
    <n v="2"/>
    <x v="2"/>
    <s v="rich"/>
    <s v="little"/>
    <n v="3622"/>
    <n v="30"/>
    <s v="furniture/equipment"/>
    <x v="0"/>
  </r>
  <r>
    <n v="30"/>
    <x v="4"/>
    <x v="1"/>
    <n v="2"/>
    <x v="0"/>
    <s v="rich"/>
    <s v="Unknown"/>
    <n v="960"/>
    <n v="15"/>
    <s v="furniture/equipment"/>
    <x v="0"/>
  </r>
  <r>
    <n v="44"/>
    <x v="3"/>
    <x v="0"/>
    <n v="2"/>
    <x v="0"/>
    <s v="quite rich"/>
    <s v="Unknown"/>
    <n v="1163"/>
    <n v="12"/>
    <s v="car"/>
    <x v="0"/>
  </r>
  <r>
    <n v="47"/>
    <x v="2"/>
    <x v="0"/>
    <n v="3"/>
    <x v="0"/>
    <s v="little"/>
    <s v="moderate"/>
    <n v="1209"/>
    <n v="6"/>
    <s v="car"/>
    <x v="0"/>
  </r>
  <r>
    <n v="52"/>
    <x v="2"/>
    <x v="0"/>
    <n v="2"/>
    <x v="0"/>
    <s v="little"/>
    <s v="Unknown"/>
    <n v="3077"/>
    <n v="12"/>
    <s v="radio/TV"/>
    <x v="0"/>
  </r>
  <r>
    <n v="62"/>
    <x v="0"/>
    <x v="1"/>
    <n v="2"/>
    <x v="1"/>
    <s v="little"/>
    <s v="Unknown"/>
    <n v="3757"/>
    <n v="24"/>
    <s v="car"/>
    <x v="0"/>
  </r>
  <r>
    <n v="35"/>
    <x v="4"/>
    <x v="0"/>
    <n v="1"/>
    <x v="2"/>
    <s v="moderate"/>
    <s v="Unknown"/>
    <n v="1418"/>
    <n v="10"/>
    <s v="car"/>
    <x v="0"/>
  </r>
  <r>
    <n v="26"/>
    <x v="4"/>
    <x v="0"/>
    <n v="2"/>
    <x v="2"/>
    <s v="little"/>
    <s v="Unknown"/>
    <n v="3518"/>
    <n v="6"/>
    <s v="car"/>
    <x v="0"/>
  </r>
  <r>
    <n v="26"/>
    <x v="4"/>
    <x v="0"/>
    <n v="2"/>
    <x v="0"/>
    <s v="little"/>
    <s v="Unknown"/>
    <n v="1934"/>
    <n v="12"/>
    <s v="radio/TV"/>
    <x v="0"/>
  </r>
  <r>
    <n v="42"/>
    <x v="3"/>
    <x v="1"/>
    <n v="3"/>
    <x v="1"/>
    <s v="little"/>
    <s v="moderate"/>
    <n v="8318"/>
    <n v="27"/>
    <s v="business"/>
    <x v="0"/>
  </r>
  <r>
    <n v="27"/>
    <x v="4"/>
    <x v="1"/>
    <n v="2"/>
    <x v="0"/>
    <s v="moderate"/>
    <s v="Unknown"/>
    <n v="1237"/>
    <n v="6"/>
    <s v="radio/TV"/>
    <x v="0"/>
  </r>
  <r>
    <n v="38"/>
    <x v="3"/>
    <x v="0"/>
    <n v="2"/>
    <x v="0"/>
    <s v="Unknown"/>
    <s v="moderate"/>
    <n v="368"/>
    <n v="6"/>
    <s v="radio/TV"/>
    <x v="0"/>
  </r>
  <r>
    <n v="39"/>
    <x v="3"/>
    <x v="0"/>
    <n v="1"/>
    <x v="2"/>
    <s v="little"/>
    <s v="little"/>
    <n v="2122"/>
    <n v="12"/>
    <s v="car"/>
    <x v="0"/>
  </r>
  <r>
    <n v="20"/>
    <x v="1"/>
    <x v="0"/>
    <n v="2"/>
    <x v="0"/>
    <s v="Unknown"/>
    <s v="little"/>
    <n v="2996"/>
    <n v="24"/>
    <s v="furniture/equipment"/>
    <x v="0"/>
  </r>
  <r>
    <n v="29"/>
    <x v="4"/>
    <x v="0"/>
    <n v="3"/>
    <x v="2"/>
    <s v="moderate"/>
    <s v="moderate"/>
    <n v="9034"/>
    <n v="36"/>
    <s v="furniture/equipment"/>
    <x v="0"/>
  </r>
  <r>
    <n v="40"/>
    <x v="3"/>
    <x v="0"/>
    <n v="2"/>
    <x v="0"/>
    <s v="little"/>
    <s v="Unknown"/>
    <n v="1585"/>
    <n v="24"/>
    <s v="furniture/equipment"/>
    <x v="0"/>
  </r>
  <r>
    <n v="32"/>
    <x v="4"/>
    <x v="0"/>
    <n v="1"/>
    <x v="0"/>
    <s v="little"/>
    <s v="moderate"/>
    <n v="1301"/>
    <n v="18"/>
    <s v="radio/TV"/>
    <x v="0"/>
  </r>
  <r>
    <n v="28"/>
    <x v="4"/>
    <x v="0"/>
    <n v="2"/>
    <x v="0"/>
    <s v="moderate"/>
    <s v="rich"/>
    <n v="1323"/>
    <n v="6"/>
    <s v="car"/>
    <x v="0"/>
  </r>
  <r>
    <n v="27"/>
    <x v="4"/>
    <x v="1"/>
    <n v="2"/>
    <x v="0"/>
    <s v="little"/>
    <s v="little"/>
    <n v="3123"/>
    <n v="24"/>
    <s v="car"/>
    <x v="0"/>
  </r>
  <r>
    <n v="42"/>
    <x v="3"/>
    <x v="0"/>
    <n v="2"/>
    <x v="1"/>
    <s v="little"/>
    <s v="little"/>
    <n v="5493"/>
    <n v="36"/>
    <s v="car"/>
    <x v="0"/>
  </r>
  <r>
    <n v="49"/>
    <x v="2"/>
    <x v="0"/>
    <n v="2"/>
    <x v="0"/>
    <s v="moderate"/>
    <s v="rich"/>
    <n v="1126"/>
    <n v="9"/>
    <s v="radio/TV"/>
    <x v="0"/>
  </r>
  <r>
    <n v="38"/>
    <x v="3"/>
    <x v="0"/>
    <n v="2"/>
    <x v="0"/>
    <s v="moderate"/>
    <s v="moderate"/>
    <n v="1216"/>
    <n v="24"/>
    <s v="radio/TV"/>
    <x v="0"/>
  </r>
  <r>
    <n v="24"/>
    <x v="1"/>
    <x v="1"/>
    <n v="2"/>
    <x v="2"/>
    <s v="little"/>
    <s v="little"/>
    <n v="1207"/>
    <n v="24"/>
    <s v="car"/>
    <x v="0"/>
  </r>
  <r>
    <n v="27"/>
    <x v="4"/>
    <x v="0"/>
    <n v="1"/>
    <x v="0"/>
    <s v="Unknown"/>
    <s v="Unknown"/>
    <n v="1309"/>
    <n v="10"/>
    <s v="car"/>
    <x v="0"/>
  </r>
  <r>
    <n v="36"/>
    <x v="3"/>
    <x v="0"/>
    <n v="2"/>
    <x v="0"/>
    <s v="quite rich"/>
    <s v="rich"/>
    <n v="2360"/>
    <n v="15"/>
    <s v="car"/>
    <x v="0"/>
  </r>
  <r>
    <n v="34"/>
    <x v="4"/>
    <x v="0"/>
    <n v="3"/>
    <x v="0"/>
    <s v="moderate"/>
    <s v="moderate"/>
    <n v="6850"/>
    <n v="15"/>
    <s v="car"/>
    <x v="0"/>
  </r>
  <r>
    <n v="28"/>
    <x v="4"/>
    <x v="0"/>
    <n v="2"/>
    <x v="0"/>
    <s v="little"/>
    <s v="Unknown"/>
    <n v="1413"/>
    <n v="24"/>
    <s v="radio/TV"/>
    <x v="0"/>
  </r>
  <r>
    <n v="45"/>
    <x v="3"/>
    <x v="0"/>
    <n v="3"/>
    <x v="0"/>
    <s v="moderate"/>
    <s v="Unknown"/>
    <n v="8588"/>
    <n v="39"/>
    <s v="car"/>
    <x v="0"/>
  </r>
  <r>
    <n v="26"/>
    <x v="4"/>
    <x v="0"/>
    <n v="2"/>
    <x v="0"/>
    <s v="little"/>
    <s v="little"/>
    <n v="759"/>
    <n v="12"/>
    <s v="car"/>
    <x v="0"/>
  </r>
  <r>
    <n v="32"/>
    <x v="4"/>
    <x v="0"/>
    <n v="3"/>
    <x v="1"/>
    <s v="little"/>
    <s v="Unknown"/>
    <n v="4686"/>
    <n v="36"/>
    <s v="car"/>
    <x v="0"/>
  </r>
  <r>
    <n v="26"/>
    <x v="4"/>
    <x v="0"/>
    <n v="2"/>
    <x v="2"/>
    <s v="little"/>
    <s v="rich"/>
    <n v="2687"/>
    <n v="15"/>
    <s v="business"/>
    <x v="0"/>
  </r>
  <r>
    <n v="20"/>
    <x v="1"/>
    <x v="0"/>
    <n v="2"/>
    <x v="2"/>
    <s v="little"/>
    <s v="moderate"/>
    <n v="585"/>
    <n v="12"/>
    <s v="radio/TV"/>
    <x v="0"/>
  </r>
  <r>
    <n v="54"/>
    <x v="2"/>
    <x v="0"/>
    <n v="2"/>
    <x v="0"/>
    <s v="Unknown"/>
    <s v="Unknown"/>
    <n v="2255"/>
    <n v="24"/>
    <s v="car"/>
    <x v="0"/>
  </r>
  <r>
    <n v="37"/>
    <x v="3"/>
    <x v="1"/>
    <n v="2"/>
    <x v="0"/>
    <s v="little"/>
    <s v="little"/>
    <n v="609"/>
    <n v="6"/>
    <s v="car"/>
    <x v="0"/>
  </r>
  <r>
    <n v="40"/>
    <x v="3"/>
    <x v="0"/>
    <n v="1"/>
    <x v="0"/>
    <s v="little"/>
    <s v="little"/>
    <n v="1361"/>
    <n v="6"/>
    <s v="car"/>
    <x v="0"/>
  </r>
  <r>
    <n v="23"/>
    <x v="1"/>
    <x v="1"/>
    <n v="2"/>
    <x v="2"/>
    <s v="little"/>
    <s v="Unknown"/>
    <n v="7127"/>
    <n v="36"/>
    <s v="furniture/equipment"/>
    <x v="0"/>
  </r>
  <r>
    <n v="43"/>
    <x v="3"/>
    <x v="0"/>
    <n v="2"/>
    <x v="0"/>
    <s v="moderate"/>
    <s v="little"/>
    <n v="1203"/>
    <n v="6"/>
    <s v="car"/>
    <x v="0"/>
  </r>
  <r>
    <n v="36"/>
    <x v="3"/>
    <x v="0"/>
    <n v="2"/>
    <x v="1"/>
    <s v="Unknown"/>
    <s v="Unknown"/>
    <n v="700"/>
    <n v="6"/>
    <s v="radio/TV"/>
    <x v="0"/>
  </r>
  <r>
    <n v="44"/>
    <x v="3"/>
    <x v="0"/>
    <n v="2"/>
    <x v="1"/>
    <s v="little"/>
    <s v="Unknown"/>
    <n v="5507"/>
    <n v="24"/>
    <s v="repairs"/>
    <x v="0"/>
  </r>
  <r>
    <n v="24"/>
    <x v="1"/>
    <x v="1"/>
    <n v="2"/>
    <x v="0"/>
    <s v="little"/>
    <s v="little"/>
    <n v="3190"/>
    <n v="18"/>
    <s v="radio/TV"/>
    <x v="0"/>
  </r>
  <r>
    <n v="53"/>
    <x v="2"/>
    <x v="0"/>
    <n v="2"/>
    <x v="1"/>
    <s v="little"/>
    <s v="little"/>
    <n v="7119"/>
    <n v="48"/>
    <s v="furniture/equipment"/>
    <x v="0"/>
  </r>
  <r>
    <n v="23"/>
    <x v="1"/>
    <x v="1"/>
    <n v="2"/>
    <x v="0"/>
    <s v="moderate"/>
    <s v="Unknown"/>
    <n v="3488"/>
    <n v="24"/>
    <s v="car"/>
    <x v="0"/>
  </r>
  <r>
    <n v="26"/>
    <x v="4"/>
    <x v="1"/>
    <n v="1"/>
    <x v="0"/>
    <s v="little"/>
    <s v="moderate"/>
    <n v="1113"/>
    <n v="18"/>
    <s v="radio/TV"/>
    <x v="0"/>
  </r>
  <r>
    <n v="30"/>
    <x v="4"/>
    <x v="0"/>
    <n v="2"/>
    <x v="0"/>
    <s v="little"/>
    <s v="moderate"/>
    <n v="7966"/>
    <n v="26"/>
    <s v="car"/>
    <x v="0"/>
  </r>
  <r>
    <n v="31"/>
    <x v="4"/>
    <x v="1"/>
    <n v="2"/>
    <x v="0"/>
    <s v="moderate"/>
    <s v="Unknown"/>
    <n v="1532"/>
    <n v="15"/>
    <s v="education"/>
    <x v="0"/>
  </r>
  <r>
    <n v="42"/>
    <x v="3"/>
    <x v="0"/>
    <n v="1"/>
    <x v="0"/>
    <s v="little"/>
    <s v="Unknown"/>
    <n v="1503"/>
    <n v="4"/>
    <s v="radio/TV"/>
    <x v="0"/>
  </r>
  <r>
    <n v="31"/>
    <x v="4"/>
    <x v="0"/>
    <n v="2"/>
    <x v="2"/>
    <s v="little"/>
    <s v="little"/>
    <n v="2302"/>
    <n v="36"/>
    <s v="radio/TV"/>
    <x v="0"/>
  </r>
  <r>
    <n v="41"/>
    <x v="3"/>
    <x v="0"/>
    <n v="1"/>
    <x v="0"/>
    <s v="little"/>
    <s v="little"/>
    <n v="662"/>
    <n v="6"/>
    <s v="car"/>
    <x v="0"/>
  </r>
  <r>
    <n v="32"/>
    <x v="4"/>
    <x v="0"/>
    <n v="2"/>
    <x v="0"/>
    <s v="little"/>
    <s v="moderate"/>
    <n v="2273"/>
    <n v="36"/>
    <s v="education"/>
    <x v="0"/>
  </r>
  <r>
    <n v="28"/>
    <x v="4"/>
    <x v="1"/>
    <n v="2"/>
    <x v="2"/>
    <s v="moderate"/>
    <s v="moderate"/>
    <n v="2631"/>
    <n v="15"/>
    <s v="car"/>
    <x v="0"/>
  </r>
  <r>
    <n v="41"/>
    <x v="3"/>
    <x v="0"/>
    <n v="2"/>
    <x v="2"/>
    <s v="little"/>
    <s v="Unknown"/>
    <n v="1503"/>
    <n v="12"/>
    <s v="car"/>
    <x v="0"/>
  </r>
  <r>
    <n v="26"/>
    <x v="4"/>
    <x v="0"/>
    <n v="2"/>
    <x v="0"/>
    <s v="moderate"/>
    <s v="Unknown"/>
    <n v="1311"/>
    <n v="24"/>
    <s v="radio/TV"/>
    <x v="0"/>
  </r>
  <r>
    <n v="25"/>
    <x v="1"/>
    <x v="0"/>
    <n v="2"/>
    <x v="0"/>
    <s v="Unknown"/>
    <s v="Unknown"/>
    <n v="3105"/>
    <n v="24"/>
    <s v="radio/TV"/>
    <x v="0"/>
  </r>
  <r>
    <n v="33"/>
    <x v="4"/>
    <x v="0"/>
    <n v="2"/>
    <x v="2"/>
    <s v="little"/>
    <s v="rich"/>
    <n v="2319"/>
    <n v="21"/>
    <s v="education"/>
    <x v="0"/>
  </r>
  <r>
    <n v="75"/>
    <x v="0"/>
    <x v="1"/>
    <n v="3"/>
    <x v="0"/>
    <s v="Unknown"/>
    <s v="little"/>
    <n v="1374"/>
    <n v="6"/>
    <s v="car"/>
    <x v="0"/>
  </r>
  <r>
    <n v="37"/>
    <x v="3"/>
    <x v="1"/>
    <n v="2"/>
    <x v="0"/>
    <s v="little"/>
    <s v="moderate"/>
    <n v="3612"/>
    <n v="18"/>
    <s v="furniture/equipment"/>
    <x v="0"/>
  </r>
  <r>
    <n v="42"/>
    <x v="3"/>
    <x v="0"/>
    <n v="3"/>
    <x v="1"/>
    <s v="little"/>
    <s v="little"/>
    <n v="7763"/>
    <n v="48"/>
    <s v="car"/>
    <x v="0"/>
  </r>
  <r>
    <n v="45"/>
    <x v="3"/>
    <x v="1"/>
    <n v="1"/>
    <x v="0"/>
    <s v="little"/>
    <s v="rich"/>
    <n v="3049"/>
    <n v="18"/>
    <s v="furniture/equipment"/>
    <x v="0"/>
  </r>
  <r>
    <n v="23"/>
    <x v="1"/>
    <x v="0"/>
    <n v="2"/>
    <x v="2"/>
    <s v="little"/>
    <s v="moderate"/>
    <n v="1534"/>
    <n v="12"/>
    <s v="radio/TV"/>
    <x v="0"/>
  </r>
  <r>
    <n v="60"/>
    <x v="2"/>
    <x v="0"/>
    <n v="2"/>
    <x v="1"/>
    <s v="little"/>
    <s v="Unknown"/>
    <n v="2032"/>
    <n v="24"/>
    <s v="car"/>
    <x v="0"/>
  </r>
  <r>
    <n v="31"/>
    <x v="4"/>
    <x v="0"/>
    <n v="2"/>
    <x v="0"/>
    <s v="Unknown"/>
    <s v="little"/>
    <n v="6350"/>
    <n v="30"/>
    <s v="furniture/equipment"/>
    <x v="0"/>
  </r>
  <r>
    <n v="34"/>
    <x v="4"/>
    <x v="0"/>
    <n v="1"/>
    <x v="0"/>
    <s v="little"/>
    <s v="rich"/>
    <n v="2864"/>
    <n v="18"/>
    <s v="furniture/equipment"/>
    <x v="0"/>
  </r>
  <r>
    <n v="61"/>
    <x v="0"/>
    <x v="0"/>
    <n v="1"/>
    <x v="0"/>
    <s v="little"/>
    <s v="Unknown"/>
    <n v="1255"/>
    <n v="12"/>
    <s v="car"/>
    <x v="0"/>
  </r>
  <r>
    <n v="43"/>
    <x v="3"/>
    <x v="0"/>
    <n v="2"/>
    <x v="1"/>
    <s v="little"/>
    <s v="little"/>
    <n v="1333"/>
    <n v="24"/>
    <s v="car"/>
    <x v="0"/>
  </r>
  <r>
    <n v="37"/>
    <x v="3"/>
    <x v="1"/>
    <n v="2"/>
    <x v="0"/>
    <s v="little"/>
    <s v="Unknown"/>
    <n v="2022"/>
    <n v="24"/>
    <s v="car"/>
    <x v="0"/>
  </r>
  <r>
    <n v="32"/>
    <x v="4"/>
    <x v="0"/>
    <n v="2"/>
    <x v="0"/>
    <s v="little"/>
    <s v="Unknown"/>
    <n v="1552"/>
    <n v="24"/>
    <s v="radio/TV"/>
    <x v="0"/>
  </r>
  <r>
    <n v="24"/>
    <x v="1"/>
    <x v="1"/>
    <n v="1"/>
    <x v="0"/>
    <s v="little"/>
    <s v="little"/>
    <n v="626"/>
    <n v="12"/>
    <s v="radio/TV"/>
    <x v="0"/>
  </r>
  <r>
    <n v="35"/>
    <x v="4"/>
    <x v="0"/>
    <n v="2"/>
    <x v="1"/>
    <s v="Unknown"/>
    <s v="Unknown"/>
    <n v="8858"/>
    <n v="48"/>
    <s v="car"/>
    <x v="0"/>
  </r>
  <r>
    <n v="23"/>
    <x v="1"/>
    <x v="1"/>
    <n v="2"/>
    <x v="0"/>
    <s v="Unknown"/>
    <s v="Unknown"/>
    <n v="996"/>
    <n v="12"/>
    <s v="repairs"/>
    <x v="0"/>
  </r>
  <r>
    <n v="45"/>
    <x v="3"/>
    <x v="0"/>
    <n v="1"/>
    <x v="0"/>
    <s v="quite rich"/>
    <s v="Unknown"/>
    <n v="1750"/>
    <n v="6"/>
    <s v="radio/TV"/>
    <x v="0"/>
  </r>
  <r>
    <n v="34"/>
    <x v="4"/>
    <x v="0"/>
    <n v="2"/>
    <x v="0"/>
    <s v="little"/>
    <s v="little"/>
    <n v="6999"/>
    <n v="48"/>
    <s v="radio/TV"/>
    <x v="0"/>
  </r>
  <r>
    <n v="27"/>
    <x v="4"/>
    <x v="0"/>
    <n v="2"/>
    <x v="0"/>
    <s v="moderate"/>
    <s v="moderate"/>
    <n v="1995"/>
    <n v="12"/>
    <s v="car"/>
    <x v="0"/>
  </r>
  <r>
    <n v="67"/>
    <x v="0"/>
    <x v="1"/>
    <n v="3"/>
    <x v="0"/>
    <s v="little"/>
    <s v="moderate"/>
    <n v="1199"/>
    <n v="9"/>
    <s v="education"/>
    <x v="0"/>
  </r>
  <r>
    <n v="22"/>
    <x v="1"/>
    <x v="0"/>
    <n v="2"/>
    <x v="0"/>
    <s v="little"/>
    <s v="moderate"/>
    <n v="1331"/>
    <n v="12"/>
    <s v="radio/TV"/>
    <x v="0"/>
  </r>
  <r>
    <n v="28"/>
    <x v="4"/>
    <x v="1"/>
    <n v="2"/>
    <x v="0"/>
    <s v="moderate"/>
    <s v="moderate"/>
    <n v="2278"/>
    <n v="18"/>
    <s v="car"/>
    <x v="0"/>
  </r>
  <r>
    <n v="29"/>
    <x v="4"/>
    <x v="1"/>
    <n v="2"/>
    <x v="0"/>
    <s v="Unknown"/>
    <s v="Unknown"/>
    <n v="5003"/>
    <n v="21"/>
    <s v="car"/>
    <x v="0"/>
  </r>
  <r>
    <n v="27"/>
    <x v="4"/>
    <x v="0"/>
    <n v="2"/>
    <x v="0"/>
    <s v="little"/>
    <s v="little"/>
    <n v="3552"/>
    <n v="24"/>
    <s v="furniture/equipment"/>
    <x v="0"/>
  </r>
  <r>
    <n v="31"/>
    <x v="4"/>
    <x v="0"/>
    <n v="1"/>
    <x v="0"/>
    <s v="little"/>
    <s v="moderate"/>
    <n v="1928"/>
    <n v="18"/>
    <s v="furniture/equipment"/>
    <x v="0"/>
  </r>
  <r>
    <n v="49"/>
    <x v="2"/>
    <x v="0"/>
    <n v="2"/>
    <x v="1"/>
    <s v="Unknown"/>
    <s v="little"/>
    <n v="2964"/>
    <n v="24"/>
    <s v="car"/>
    <x v="0"/>
  </r>
  <r>
    <n v="24"/>
    <x v="1"/>
    <x v="0"/>
    <n v="1"/>
    <x v="2"/>
    <s v="little"/>
    <s v="little"/>
    <n v="1546"/>
    <n v="24"/>
    <s v="radio/TV"/>
    <x v="0"/>
  </r>
  <r>
    <n v="29"/>
    <x v="4"/>
    <x v="1"/>
    <n v="2"/>
    <x v="0"/>
    <s v="little"/>
    <s v="rich"/>
    <n v="683"/>
    <n v="6"/>
    <s v="radio/TV"/>
    <x v="0"/>
  </r>
  <r>
    <n v="37"/>
    <x v="3"/>
    <x v="0"/>
    <n v="2"/>
    <x v="1"/>
    <s v="Unknown"/>
    <s v="moderate"/>
    <n v="12389"/>
    <n v="36"/>
    <s v="car"/>
    <x v="0"/>
  </r>
  <r>
    <n v="37"/>
    <x v="3"/>
    <x v="0"/>
    <n v="3"/>
    <x v="0"/>
    <s v="Unknown"/>
    <s v="moderate"/>
    <n v="4712"/>
    <n v="24"/>
    <s v="business"/>
    <x v="0"/>
  </r>
  <r>
    <n v="23"/>
    <x v="1"/>
    <x v="1"/>
    <n v="2"/>
    <x v="2"/>
    <s v="moderate"/>
    <s v="moderate"/>
    <n v="1553"/>
    <n v="24"/>
    <s v="radio/TV"/>
    <x v="0"/>
  </r>
  <r>
    <n v="36"/>
    <x v="3"/>
    <x v="0"/>
    <n v="2"/>
    <x v="0"/>
    <s v="little"/>
    <s v="little"/>
    <n v="1372"/>
    <n v="12"/>
    <s v="car"/>
    <x v="0"/>
  </r>
  <r>
    <n v="34"/>
    <x v="4"/>
    <x v="0"/>
    <n v="2"/>
    <x v="0"/>
    <s v="rich"/>
    <s v="Unknown"/>
    <n v="2578"/>
    <n v="24"/>
    <s v="radio/TV"/>
    <x v="0"/>
  </r>
  <r>
    <n v="41"/>
    <x v="3"/>
    <x v="0"/>
    <n v="2"/>
    <x v="0"/>
    <s v="Unknown"/>
    <s v="moderate"/>
    <n v="3979"/>
    <n v="48"/>
    <s v="radio/TV"/>
    <x v="0"/>
  </r>
  <r>
    <n v="31"/>
    <x v="4"/>
    <x v="1"/>
    <n v="2"/>
    <x v="0"/>
    <s v="little"/>
    <s v="little"/>
    <n v="6758"/>
    <n v="48"/>
    <s v="radio/TV"/>
    <x v="0"/>
  </r>
  <r>
    <n v="23"/>
    <x v="1"/>
    <x v="1"/>
    <n v="1"/>
    <x v="2"/>
    <s v="little"/>
    <s v="little"/>
    <n v="3234"/>
    <n v="24"/>
    <s v="furniture/equipment"/>
    <x v="0"/>
  </r>
  <r>
    <n v="38"/>
    <x v="3"/>
    <x v="0"/>
    <n v="2"/>
    <x v="0"/>
    <s v="little"/>
    <s v="Unknown"/>
    <n v="5954"/>
    <n v="30"/>
    <s v="radio/TV"/>
    <x v="0"/>
  </r>
  <r>
    <n v="26"/>
    <x v="4"/>
    <x v="1"/>
    <n v="3"/>
    <x v="2"/>
    <s v="Unknown"/>
    <s v="Unknown"/>
    <n v="5433"/>
    <n v="24"/>
    <s v="car"/>
    <x v="0"/>
  </r>
  <r>
    <n v="22"/>
    <x v="1"/>
    <x v="1"/>
    <n v="1"/>
    <x v="0"/>
    <s v="little"/>
    <s v="little"/>
    <n v="806"/>
    <n v="15"/>
    <s v="business"/>
    <x v="0"/>
  </r>
  <r>
    <n v="27"/>
    <x v="4"/>
    <x v="0"/>
    <n v="1"/>
    <x v="0"/>
    <s v="little"/>
    <s v="moderate"/>
    <n v="1082"/>
    <n v="9"/>
    <s v="radio/TV"/>
    <x v="0"/>
  </r>
  <r>
    <n v="24"/>
    <x v="1"/>
    <x v="1"/>
    <n v="2"/>
    <x v="0"/>
    <s v="little"/>
    <s v="Unknown"/>
    <n v="2788"/>
    <n v="15"/>
    <s v="furniture/equipment"/>
    <x v="0"/>
  </r>
  <r>
    <n v="27"/>
    <x v="4"/>
    <x v="1"/>
    <n v="2"/>
    <x v="0"/>
    <s v="little"/>
    <s v="moderate"/>
    <n v="2930"/>
    <n v="12"/>
    <s v="radio/TV"/>
    <x v="0"/>
  </r>
  <r>
    <n v="33"/>
    <x v="4"/>
    <x v="1"/>
    <n v="2"/>
    <x v="0"/>
    <s v="Unknown"/>
    <s v="Unknown"/>
    <n v="1927"/>
    <n v="24"/>
    <s v="education"/>
    <x v="0"/>
  </r>
  <r>
    <n v="27"/>
    <x v="4"/>
    <x v="0"/>
    <n v="2"/>
    <x v="0"/>
    <s v="little"/>
    <s v="moderate"/>
    <n v="2820"/>
    <n v="36"/>
    <s v="car"/>
    <x v="0"/>
  </r>
  <r>
    <n v="27"/>
    <x v="4"/>
    <x v="0"/>
    <n v="1"/>
    <x v="0"/>
    <s v="little"/>
    <s v="Unknown"/>
    <n v="937"/>
    <n v="24"/>
    <s v="education"/>
    <x v="0"/>
  </r>
  <r>
    <n v="30"/>
    <x v="4"/>
    <x v="0"/>
    <n v="2"/>
    <x v="0"/>
    <s v="little"/>
    <s v="moderate"/>
    <n v="1056"/>
    <n v="18"/>
    <s v="car"/>
    <x v="0"/>
  </r>
  <r>
    <n v="49"/>
    <x v="2"/>
    <x v="0"/>
    <n v="1"/>
    <x v="0"/>
    <s v="little"/>
    <s v="moderate"/>
    <n v="3124"/>
    <n v="12"/>
    <s v="car"/>
    <x v="0"/>
  </r>
  <r>
    <n v="26"/>
    <x v="4"/>
    <x v="1"/>
    <n v="2"/>
    <x v="2"/>
    <s v="little"/>
    <s v="Unknown"/>
    <n v="1388"/>
    <n v="9"/>
    <s v="furniture/equipment"/>
    <x v="0"/>
  </r>
  <r>
    <n v="33"/>
    <x v="4"/>
    <x v="0"/>
    <n v="1"/>
    <x v="2"/>
    <s v="little"/>
    <s v="moderate"/>
    <n v="2384"/>
    <n v="36"/>
    <s v="repairs"/>
    <x v="0"/>
  </r>
  <r>
    <n v="52"/>
    <x v="2"/>
    <x v="1"/>
    <n v="3"/>
    <x v="1"/>
    <s v="Unknown"/>
    <s v="Unknown"/>
    <n v="2133"/>
    <n v="12"/>
    <s v="car"/>
    <x v="0"/>
  </r>
  <r>
    <n v="20"/>
    <x v="1"/>
    <x v="1"/>
    <n v="2"/>
    <x v="2"/>
    <s v="little"/>
    <s v="little"/>
    <n v="2039"/>
    <n v="18"/>
    <s v="furniture/equipment"/>
    <x v="0"/>
  </r>
  <r>
    <n v="36"/>
    <x v="3"/>
    <x v="0"/>
    <n v="2"/>
    <x v="2"/>
    <s v="little"/>
    <s v="little"/>
    <n v="2799"/>
    <n v="9"/>
    <s v="car"/>
    <x v="0"/>
  </r>
  <r>
    <n v="21"/>
    <x v="1"/>
    <x v="0"/>
    <n v="1"/>
    <x v="0"/>
    <s v="little"/>
    <s v="little"/>
    <n v="1289"/>
    <n v="12"/>
    <s v="furniture/equipment"/>
    <x v="0"/>
  </r>
  <r>
    <n v="47"/>
    <x v="2"/>
    <x v="0"/>
    <n v="1"/>
    <x v="0"/>
    <s v="little"/>
    <s v="little"/>
    <n v="1217"/>
    <n v="18"/>
    <s v="domestic appliances"/>
    <x v="0"/>
  </r>
  <r>
    <n v="60"/>
    <x v="2"/>
    <x v="0"/>
    <n v="2"/>
    <x v="0"/>
    <s v="little"/>
    <s v="little"/>
    <n v="2246"/>
    <n v="12"/>
    <s v="furniture/equipment"/>
    <x v="0"/>
  </r>
  <r>
    <n v="58"/>
    <x v="2"/>
    <x v="1"/>
    <n v="1"/>
    <x v="0"/>
    <s v="little"/>
    <s v="little"/>
    <n v="385"/>
    <n v="12"/>
    <s v="radio/TV"/>
    <x v="0"/>
  </r>
  <r>
    <n v="42"/>
    <x v="3"/>
    <x v="1"/>
    <n v="2"/>
    <x v="2"/>
    <s v="Unknown"/>
    <s v="moderate"/>
    <n v="1965"/>
    <n v="24"/>
    <s v="car"/>
    <x v="0"/>
  </r>
  <r>
    <n v="36"/>
    <x v="3"/>
    <x v="1"/>
    <n v="1"/>
    <x v="0"/>
    <s v="rich"/>
    <s v="Unknown"/>
    <n v="1572"/>
    <n v="21"/>
    <s v="business"/>
    <x v="0"/>
  </r>
  <r>
    <n v="20"/>
    <x v="1"/>
    <x v="1"/>
    <n v="1"/>
    <x v="2"/>
    <s v="little"/>
    <s v="moderate"/>
    <n v="2718"/>
    <n v="24"/>
    <s v="car"/>
    <x v="0"/>
  </r>
  <r>
    <n v="40"/>
    <x v="3"/>
    <x v="0"/>
    <n v="3"/>
    <x v="0"/>
    <s v="Unknown"/>
    <s v="little"/>
    <n v="1358"/>
    <n v="24"/>
    <s v="vacation/others"/>
    <x v="0"/>
  </r>
  <r>
    <n v="32"/>
    <x v="4"/>
    <x v="1"/>
    <n v="1"/>
    <x v="0"/>
    <s v="moderate"/>
    <s v="moderate"/>
    <n v="931"/>
    <n v="6"/>
    <s v="car"/>
    <x v="0"/>
  </r>
  <r>
    <n v="23"/>
    <x v="1"/>
    <x v="1"/>
    <n v="2"/>
    <x v="2"/>
    <s v="little"/>
    <s v="little"/>
    <n v="1442"/>
    <n v="24"/>
    <s v="car"/>
    <x v="0"/>
  </r>
  <r>
    <n v="36"/>
    <x v="3"/>
    <x v="0"/>
    <n v="1"/>
    <x v="0"/>
    <s v="little"/>
    <s v="moderate"/>
    <n v="4241"/>
    <n v="24"/>
    <s v="business"/>
    <x v="0"/>
  </r>
  <r>
    <n v="31"/>
    <x v="4"/>
    <x v="0"/>
    <n v="2"/>
    <x v="0"/>
    <s v="little"/>
    <s v="Unknown"/>
    <n v="2775"/>
    <n v="18"/>
    <s v="car"/>
    <x v="0"/>
  </r>
  <r>
    <n v="32"/>
    <x v="4"/>
    <x v="0"/>
    <n v="2"/>
    <x v="1"/>
    <s v="little"/>
    <s v="Unknown"/>
    <n v="3863"/>
    <n v="24"/>
    <s v="business"/>
    <x v="0"/>
  </r>
  <r>
    <n v="45"/>
    <x v="3"/>
    <x v="1"/>
    <n v="2"/>
    <x v="0"/>
    <s v="little"/>
    <s v="moderate"/>
    <n v="2329"/>
    <n v="7"/>
    <s v="radio/TV"/>
    <x v="0"/>
  </r>
  <r>
    <n v="30"/>
    <x v="4"/>
    <x v="1"/>
    <n v="2"/>
    <x v="0"/>
    <s v="little"/>
    <s v="moderate"/>
    <n v="918"/>
    <n v="9"/>
    <s v="furniture/equipment"/>
    <x v="0"/>
  </r>
  <r>
    <n v="34"/>
    <x v="4"/>
    <x v="1"/>
    <n v="1"/>
    <x v="1"/>
    <s v="little"/>
    <s v="moderate"/>
    <n v="1837"/>
    <n v="24"/>
    <s v="education"/>
    <x v="0"/>
  </r>
  <r>
    <n v="28"/>
    <x v="4"/>
    <x v="1"/>
    <n v="3"/>
    <x v="0"/>
    <s v="little"/>
    <s v="Unknown"/>
    <n v="3349"/>
    <n v="36"/>
    <s v="furniture/equipment"/>
    <x v="0"/>
  </r>
  <r>
    <n v="23"/>
    <x v="1"/>
    <x v="1"/>
    <n v="2"/>
    <x v="0"/>
    <s v="little"/>
    <s v="rich"/>
    <n v="1275"/>
    <n v="10"/>
    <s v="furniture/equipment"/>
    <x v="0"/>
  </r>
  <r>
    <n v="22"/>
    <x v="1"/>
    <x v="0"/>
    <n v="2"/>
    <x v="0"/>
    <s v="quite rich"/>
    <s v="little"/>
    <n v="2828"/>
    <n v="24"/>
    <s v="furniture/equipment"/>
    <x v="0"/>
  </r>
  <r>
    <n v="74"/>
    <x v="0"/>
    <x v="0"/>
    <n v="3"/>
    <x v="0"/>
    <s v="little"/>
    <s v="Unknown"/>
    <n v="4526"/>
    <n v="24"/>
    <s v="business"/>
    <x v="0"/>
  </r>
  <r>
    <n v="50"/>
    <x v="2"/>
    <x v="1"/>
    <n v="2"/>
    <x v="1"/>
    <s v="moderate"/>
    <s v="moderate"/>
    <n v="2671"/>
    <n v="36"/>
    <s v="radio/TV"/>
    <x v="0"/>
  </r>
  <r>
    <n v="33"/>
    <x v="4"/>
    <x v="0"/>
    <n v="2"/>
    <x v="0"/>
    <s v="little"/>
    <s v="Unknown"/>
    <n v="2051"/>
    <n v="18"/>
    <s v="radio/TV"/>
    <x v="0"/>
  </r>
  <r>
    <n v="45"/>
    <x v="3"/>
    <x v="0"/>
    <n v="2"/>
    <x v="1"/>
    <s v="Unknown"/>
    <s v="Unknown"/>
    <n v="1300"/>
    <n v="15"/>
    <s v="car"/>
    <x v="0"/>
  </r>
  <r>
    <n v="22"/>
    <x v="1"/>
    <x v="1"/>
    <n v="2"/>
    <x v="0"/>
    <s v="moderate"/>
    <s v="little"/>
    <n v="741"/>
    <n v="12"/>
    <s v="domestic appliances"/>
    <x v="0"/>
  </r>
  <r>
    <n v="48"/>
    <x v="2"/>
    <x v="1"/>
    <n v="1"/>
    <x v="1"/>
    <s v="moderate"/>
    <s v="rich"/>
    <n v="1240"/>
    <n v="10"/>
    <s v="car"/>
    <x v="0"/>
  </r>
  <r>
    <n v="29"/>
    <x v="4"/>
    <x v="1"/>
    <n v="2"/>
    <x v="0"/>
    <s v="rich"/>
    <s v="little"/>
    <n v="3357"/>
    <n v="21"/>
    <s v="radio/TV"/>
    <x v="0"/>
  </r>
  <r>
    <n v="22"/>
    <x v="1"/>
    <x v="1"/>
    <n v="2"/>
    <x v="2"/>
    <s v="little"/>
    <s v="little"/>
    <n v="3632"/>
    <n v="24"/>
    <s v="car"/>
    <x v="0"/>
  </r>
  <r>
    <n v="22"/>
    <x v="1"/>
    <x v="1"/>
    <n v="2"/>
    <x v="0"/>
    <s v="little"/>
    <s v="Unknown"/>
    <n v="1808"/>
    <n v="18"/>
    <s v="furniture/equipment"/>
    <x v="0"/>
  </r>
  <r>
    <n v="48"/>
    <x v="2"/>
    <x v="0"/>
    <n v="3"/>
    <x v="0"/>
    <s v="Unknown"/>
    <s v="moderate"/>
    <n v="12204"/>
    <n v="48"/>
    <s v="business"/>
    <x v="0"/>
  </r>
  <r>
    <n v="27"/>
    <x v="4"/>
    <x v="0"/>
    <n v="3"/>
    <x v="1"/>
    <s v="Unknown"/>
    <s v="moderate"/>
    <n v="9157"/>
    <n v="60"/>
    <s v="radio/TV"/>
    <x v="0"/>
  </r>
  <r>
    <n v="37"/>
    <x v="3"/>
    <x v="0"/>
    <n v="2"/>
    <x v="2"/>
    <s v="little"/>
    <s v="little"/>
    <n v="3676"/>
    <n v="6"/>
    <s v="car"/>
    <x v="0"/>
  </r>
  <r>
    <n v="21"/>
    <x v="1"/>
    <x v="1"/>
    <n v="2"/>
    <x v="2"/>
    <s v="moderate"/>
    <s v="moderate"/>
    <n v="3441"/>
    <n v="30"/>
    <s v="furniture/equipment"/>
    <x v="0"/>
  </r>
  <r>
    <n v="49"/>
    <x v="2"/>
    <x v="0"/>
    <n v="1"/>
    <x v="0"/>
    <s v="little"/>
    <s v="Unknown"/>
    <n v="640"/>
    <n v="12"/>
    <s v="car"/>
    <x v="0"/>
  </r>
  <r>
    <n v="27"/>
    <x v="4"/>
    <x v="0"/>
    <n v="2"/>
    <x v="0"/>
    <s v="little"/>
    <s v="moderate"/>
    <n v="3652"/>
    <n v="21"/>
    <s v="business"/>
    <x v="0"/>
  </r>
  <r>
    <n v="32"/>
    <x v="4"/>
    <x v="0"/>
    <n v="2"/>
    <x v="0"/>
    <s v="little"/>
    <s v="Unknown"/>
    <n v="1530"/>
    <n v="18"/>
    <s v="car"/>
    <x v="0"/>
  </r>
  <r>
    <n v="38"/>
    <x v="3"/>
    <x v="0"/>
    <n v="2"/>
    <x v="0"/>
    <s v="Unknown"/>
    <s v="Unknown"/>
    <n v="3914"/>
    <n v="48"/>
    <s v="business"/>
    <x v="0"/>
  </r>
  <r>
    <n v="22"/>
    <x v="1"/>
    <x v="1"/>
    <n v="2"/>
    <x v="2"/>
    <s v="little"/>
    <s v="little"/>
    <n v="1858"/>
    <n v="12"/>
    <s v="furniture/equipment"/>
    <x v="0"/>
  </r>
  <r>
    <n v="65"/>
    <x v="0"/>
    <x v="0"/>
    <n v="2"/>
    <x v="1"/>
    <s v="little"/>
    <s v="little"/>
    <n v="2600"/>
    <n v="18"/>
    <s v="radio/TV"/>
    <x v="0"/>
  </r>
  <r>
    <n v="35"/>
    <x v="4"/>
    <x v="0"/>
    <n v="2"/>
    <x v="0"/>
    <s v="Unknown"/>
    <s v="Unknown"/>
    <n v="1979"/>
    <n v="15"/>
    <s v="radio/TV"/>
    <x v="0"/>
  </r>
  <r>
    <n v="41"/>
    <x v="3"/>
    <x v="0"/>
    <n v="2"/>
    <x v="0"/>
    <s v="little"/>
    <s v="rich"/>
    <n v="2116"/>
    <n v="6"/>
    <s v="furniture/equipment"/>
    <x v="0"/>
  </r>
  <r>
    <n v="29"/>
    <x v="4"/>
    <x v="0"/>
    <n v="2"/>
    <x v="0"/>
    <s v="moderate"/>
    <s v="moderate"/>
    <n v="1437"/>
    <n v="9"/>
    <s v="car"/>
    <x v="0"/>
  </r>
  <r>
    <n v="36"/>
    <x v="3"/>
    <x v="0"/>
    <n v="2"/>
    <x v="0"/>
    <s v="quite rich"/>
    <s v="Unknown"/>
    <n v="4042"/>
    <n v="42"/>
    <s v="furniture/equipment"/>
    <x v="0"/>
  </r>
  <r>
    <n v="64"/>
    <x v="0"/>
    <x v="0"/>
    <n v="1"/>
    <x v="0"/>
    <s v="Unknown"/>
    <s v="Unknown"/>
    <n v="3832"/>
    <n v="9"/>
    <s v="education"/>
    <x v="0"/>
  </r>
  <r>
    <n v="28"/>
    <x v="4"/>
    <x v="1"/>
    <n v="2"/>
    <x v="0"/>
    <s v="little"/>
    <s v="little"/>
    <n v="3660"/>
    <n v="24"/>
    <s v="radio/TV"/>
    <x v="0"/>
  </r>
  <r>
    <n v="44"/>
    <x v="3"/>
    <x v="0"/>
    <n v="2"/>
    <x v="0"/>
    <s v="little"/>
    <s v="little"/>
    <n v="1553"/>
    <n v="18"/>
    <s v="furniture/equipment"/>
    <x v="0"/>
  </r>
  <r>
    <n v="23"/>
    <x v="1"/>
    <x v="0"/>
    <n v="2"/>
    <x v="0"/>
    <s v="Unknown"/>
    <s v="moderate"/>
    <n v="1444"/>
    <n v="15"/>
    <s v="radio/TV"/>
    <x v="0"/>
  </r>
  <r>
    <n v="19"/>
    <x v="1"/>
    <x v="1"/>
    <n v="2"/>
    <x v="2"/>
    <s v="little"/>
    <s v="Unknown"/>
    <n v="1980"/>
    <n v="9"/>
    <s v="furniture/equipment"/>
    <x v="0"/>
  </r>
  <r>
    <n v="25"/>
    <x v="1"/>
    <x v="1"/>
    <n v="1"/>
    <x v="0"/>
    <s v="little"/>
    <s v="moderate"/>
    <n v="1355"/>
    <n v="24"/>
    <s v="car"/>
    <x v="0"/>
  </r>
  <r>
    <n v="47"/>
    <x v="2"/>
    <x v="0"/>
    <n v="2"/>
    <x v="0"/>
    <s v="little"/>
    <s v="Unknown"/>
    <n v="1393"/>
    <n v="12"/>
    <s v="education"/>
    <x v="0"/>
  </r>
  <r>
    <n v="28"/>
    <x v="4"/>
    <x v="1"/>
    <n v="2"/>
    <x v="0"/>
    <s v="quite rich"/>
    <s v="Unknown"/>
    <n v="1376"/>
    <n v="24"/>
    <s v="radio/TV"/>
    <x v="0"/>
  </r>
  <r>
    <n v="21"/>
    <x v="1"/>
    <x v="0"/>
    <n v="2"/>
    <x v="0"/>
    <s v="little"/>
    <s v="Unknown"/>
    <n v="15653"/>
    <n v="60"/>
    <s v="radio/TV"/>
    <x v="1"/>
  </r>
  <r>
    <n v="34"/>
    <x v="4"/>
    <x v="1"/>
    <n v="2"/>
    <x v="0"/>
    <s v="little"/>
    <s v="Unknown"/>
    <n v="1493"/>
    <n v="12"/>
    <s v="radio/TV"/>
    <x v="0"/>
  </r>
  <r>
    <n v="26"/>
    <x v="4"/>
    <x v="0"/>
    <n v="2"/>
    <x v="0"/>
    <s v="little"/>
    <s v="little"/>
    <n v="4370"/>
    <n v="42"/>
    <s v="radio/TV"/>
    <x v="0"/>
  </r>
  <r>
    <n v="27"/>
    <x v="4"/>
    <x v="1"/>
    <n v="0"/>
    <x v="0"/>
    <s v="little"/>
    <s v="little"/>
    <n v="750"/>
    <n v="18"/>
    <s v="education"/>
    <x v="0"/>
  </r>
  <r>
    <n v="38"/>
    <x v="3"/>
    <x v="0"/>
    <n v="1"/>
    <x v="0"/>
    <s v="little"/>
    <s v="moderate"/>
    <n v="1308"/>
    <n v="15"/>
    <s v="repairs"/>
    <x v="0"/>
  </r>
  <r>
    <n v="40"/>
    <x v="3"/>
    <x v="0"/>
    <n v="3"/>
    <x v="0"/>
    <s v="moderate"/>
    <s v="Unknown"/>
    <n v="4623"/>
    <n v="15"/>
    <s v="education"/>
    <x v="0"/>
  </r>
  <r>
    <n v="33"/>
    <x v="4"/>
    <x v="0"/>
    <n v="2"/>
    <x v="0"/>
    <s v="little"/>
    <s v="Unknown"/>
    <n v="1851"/>
    <n v="24"/>
    <s v="radio/TV"/>
    <x v="0"/>
  </r>
  <r>
    <n v="32"/>
    <x v="4"/>
    <x v="0"/>
    <n v="3"/>
    <x v="0"/>
    <s v="little"/>
    <s v="little"/>
    <n v="1880"/>
    <n v="18"/>
    <s v="radio/TV"/>
    <x v="0"/>
  </r>
  <r>
    <n v="27"/>
    <x v="4"/>
    <x v="0"/>
    <n v="2"/>
    <x v="2"/>
    <s v="Unknown"/>
    <s v="Unknown"/>
    <n v="7980"/>
    <n v="36"/>
    <s v="business"/>
    <x v="0"/>
  </r>
  <r>
    <n v="32"/>
    <x v="4"/>
    <x v="0"/>
    <n v="2"/>
    <x v="0"/>
    <s v="little"/>
    <s v="little"/>
    <n v="4583"/>
    <n v="30"/>
    <s v="furniture/equipment"/>
    <x v="0"/>
  </r>
  <r>
    <n v="26"/>
    <x v="4"/>
    <x v="1"/>
    <n v="2"/>
    <x v="0"/>
    <s v="quite rich"/>
    <s v="Unknown"/>
    <n v="1386"/>
    <n v="12"/>
    <s v="car"/>
    <x v="0"/>
  </r>
  <r>
    <n v="38"/>
    <x v="3"/>
    <x v="0"/>
    <n v="2"/>
    <x v="1"/>
    <s v="little"/>
    <s v="rich"/>
    <n v="947"/>
    <n v="24"/>
    <s v="car"/>
    <x v="0"/>
  </r>
  <r>
    <n v="40"/>
    <x v="3"/>
    <x v="0"/>
    <n v="1"/>
    <x v="2"/>
    <s v="little"/>
    <s v="little"/>
    <n v="684"/>
    <n v="12"/>
    <s v="education"/>
    <x v="0"/>
  </r>
  <r>
    <n v="50"/>
    <x v="2"/>
    <x v="0"/>
    <n v="3"/>
    <x v="1"/>
    <s v="little"/>
    <s v="little"/>
    <n v="7476"/>
    <n v="48"/>
    <s v="education"/>
    <x v="0"/>
  </r>
  <r>
    <n v="37"/>
    <x v="3"/>
    <x v="0"/>
    <n v="1"/>
    <x v="0"/>
    <s v="little"/>
    <s v="moderate"/>
    <n v="1922"/>
    <n v="12"/>
    <s v="furniture/equipment"/>
    <x v="0"/>
  </r>
  <r>
    <n v="45"/>
    <x v="3"/>
    <x v="0"/>
    <n v="2"/>
    <x v="0"/>
    <s v="little"/>
    <s v="little"/>
    <n v="2303"/>
    <n v="24"/>
    <s v="car"/>
    <x v="0"/>
  </r>
  <r>
    <n v="42"/>
    <x v="3"/>
    <x v="0"/>
    <n v="3"/>
    <x v="0"/>
    <s v="moderate"/>
    <s v="moderate"/>
    <n v="8086"/>
    <n v="36"/>
    <s v="car"/>
    <x v="0"/>
  </r>
  <r>
    <n v="35"/>
    <x v="4"/>
    <x v="0"/>
    <n v="2"/>
    <x v="0"/>
    <s v="little"/>
    <s v="Unknown"/>
    <n v="2346"/>
    <n v="24"/>
    <s v="car"/>
    <x v="0"/>
  </r>
  <r>
    <n v="22"/>
    <x v="1"/>
    <x v="0"/>
    <n v="2"/>
    <x v="1"/>
    <s v="little"/>
    <s v="little"/>
    <n v="3973"/>
    <n v="14"/>
    <s v="car"/>
    <x v="0"/>
  </r>
  <r>
    <n v="41"/>
    <x v="3"/>
    <x v="0"/>
    <n v="1"/>
    <x v="0"/>
    <s v="little"/>
    <s v="moderate"/>
    <n v="888"/>
    <n v="12"/>
    <s v="car"/>
    <x v="0"/>
  </r>
  <r>
    <n v="37"/>
    <x v="3"/>
    <x v="0"/>
    <n v="2"/>
    <x v="0"/>
    <s v="Unknown"/>
    <s v="Unknown"/>
    <n v="10222"/>
    <n v="48"/>
    <s v="radio/TV"/>
    <x v="0"/>
  </r>
  <r>
    <n v="28"/>
    <x v="4"/>
    <x v="1"/>
    <n v="2"/>
    <x v="0"/>
    <s v="little"/>
    <s v="moderate"/>
    <n v="4221"/>
    <n v="30"/>
    <s v="business"/>
    <x v="0"/>
  </r>
  <r>
    <n v="41"/>
    <x v="3"/>
    <x v="0"/>
    <n v="2"/>
    <x v="0"/>
    <s v="little"/>
    <s v="moderate"/>
    <n v="6361"/>
    <n v="18"/>
    <s v="furniture/equipment"/>
    <x v="0"/>
  </r>
  <r>
    <n v="23"/>
    <x v="1"/>
    <x v="0"/>
    <n v="2"/>
    <x v="2"/>
    <s v="little"/>
    <s v="rich"/>
    <n v="1297"/>
    <n v="12"/>
    <s v="radio/TV"/>
    <x v="0"/>
  </r>
  <r>
    <n v="23"/>
    <x v="1"/>
    <x v="0"/>
    <n v="2"/>
    <x v="0"/>
    <s v="Unknown"/>
    <s v="little"/>
    <n v="900"/>
    <n v="12"/>
    <s v="car"/>
    <x v="0"/>
  </r>
  <r>
    <n v="50"/>
    <x v="2"/>
    <x v="0"/>
    <n v="2"/>
    <x v="0"/>
    <s v="little"/>
    <s v="Unknown"/>
    <n v="2241"/>
    <n v="21"/>
    <s v="furniture/equipment"/>
    <x v="0"/>
  </r>
  <r>
    <n v="35"/>
    <x v="4"/>
    <x v="0"/>
    <n v="3"/>
    <x v="0"/>
    <s v="little"/>
    <s v="moderate"/>
    <n v="1050"/>
    <n v="6"/>
    <s v="furniture/equipment"/>
    <x v="0"/>
  </r>
  <r>
    <n v="50"/>
    <x v="2"/>
    <x v="1"/>
    <n v="1"/>
    <x v="0"/>
    <s v="little"/>
    <s v="rich"/>
    <n v="1047"/>
    <n v="6"/>
    <s v="education"/>
    <x v="0"/>
  </r>
  <r>
    <n v="27"/>
    <x v="4"/>
    <x v="0"/>
    <n v="3"/>
    <x v="0"/>
    <s v="little"/>
    <s v="Unknown"/>
    <n v="6314"/>
    <n v="24"/>
    <s v="vacation/others"/>
    <x v="0"/>
  </r>
  <r>
    <n v="34"/>
    <x v="4"/>
    <x v="0"/>
    <n v="2"/>
    <x v="0"/>
    <s v="rich"/>
    <s v="moderate"/>
    <n v="3496"/>
    <n v="30"/>
    <s v="furniture/equipment"/>
    <x v="0"/>
  </r>
  <r>
    <n v="27"/>
    <x v="4"/>
    <x v="1"/>
    <n v="2"/>
    <x v="0"/>
    <s v="little"/>
    <s v="Unknown"/>
    <n v="3609"/>
    <n v="48"/>
    <s v="business"/>
    <x v="0"/>
  </r>
  <r>
    <n v="43"/>
    <x v="3"/>
    <x v="0"/>
    <n v="2"/>
    <x v="2"/>
    <s v="little"/>
    <s v="little"/>
    <n v="4843"/>
    <n v="12"/>
    <s v="car"/>
    <x v="0"/>
  </r>
  <r>
    <n v="47"/>
    <x v="2"/>
    <x v="0"/>
    <n v="2"/>
    <x v="0"/>
    <s v="little"/>
    <s v="rich"/>
    <n v="3017"/>
    <n v="30"/>
    <s v="radio/TV"/>
    <x v="0"/>
  </r>
  <r>
    <n v="27"/>
    <x v="4"/>
    <x v="0"/>
    <n v="1"/>
    <x v="0"/>
    <s v="moderate"/>
    <s v="Unknown"/>
    <n v="4139"/>
    <n v="24"/>
    <s v="business"/>
    <x v="0"/>
  </r>
  <r>
    <n v="31"/>
    <x v="4"/>
    <x v="0"/>
    <n v="2"/>
    <x v="0"/>
    <s v="moderate"/>
    <s v="Unknown"/>
    <n v="5742"/>
    <n v="36"/>
    <s v="business"/>
    <x v="0"/>
  </r>
  <r>
    <n v="42"/>
    <x v="3"/>
    <x v="0"/>
    <n v="3"/>
    <x v="0"/>
    <s v="little"/>
    <s v="Unknown"/>
    <n v="10366"/>
    <n v="60"/>
    <s v="car"/>
    <x v="1"/>
  </r>
  <r>
    <n v="24"/>
    <x v="1"/>
    <x v="0"/>
    <n v="2"/>
    <x v="0"/>
    <s v="quite rich"/>
    <s v="Unknown"/>
    <n v="2080"/>
    <n v="6"/>
    <s v="car"/>
    <x v="0"/>
  </r>
  <r>
    <n v="41"/>
    <x v="3"/>
    <x v="0"/>
    <n v="1"/>
    <x v="0"/>
    <s v="quite rich"/>
    <s v="Unknown"/>
    <n v="2580"/>
    <n v="21"/>
    <s v="business"/>
    <x v="0"/>
  </r>
  <r>
    <n v="26"/>
    <x v="4"/>
    <x v="1"/>
    <n v="3"/>
    <x v="2"/>
    <s v="little"/>
    <s v="Unknown"/>
    <n v="4530"/>
    <n v="30"/>
    <s v="radio/TV"/>
    <x v="0"/>
  </r>
  <r>
    <n v="33"/>
    <x v="4"/>
    <x v="0"/>
    <n v="2"/>
    <x v="0"/>
    <s v="little"/>
    <s v="Unknown"/>
    <n v="5150"/>
    <n v="24"/>
    <s v="furniture/equipment"/>
    <x v="0"/>
  </r>
  <r>
    <n v="24"/>
    <x v="1"/>
    <x v="0"/>
    <n v="2"/>
    <x v="0"/>
    <s v="moderate"/>
    <s v="moderate"/>
    <n v="5595"/>
    <n v="72"/>
    <s v="radio/TV"/>
    <x v="0"/>
  </r>
  <r>
    <n v="64"/>
    <x v="0"/>
    <x v="0"/>
    <n v="1"/>
    <x v="2"/>
    <s v="little"/>
    <s v="little"/>
    <n v="2384"/>
    <n v="24"/>
    <s v="radio/TV"/>
    <x v="0"/>
  </r>
  <r>
    <n v="26"/>
    <x v="4"/>
    <x v="1"/>
    <n v="2"/>
    <x v="0"/>
    <s v="little"/>
    <s v="Unknown"/>
    <n v="1453"/>
    <n v="18"/>
    <s v="radio/TV"/>
    <x v="0"/>
  </r>
  <r>
    <n v="56"/>
    <x v="2"/>
    <x v="1"/>
    <n v="2"/>
    <x v="0"/>
    <s v="little"/>
    <s v="Unknown"/>
    <n v="1538"/>
    <n v="6"/>
    <s v="education"/>
    <x v="0"/>
  </r>
  <r>
    <n v="37"/>
    <x v="3"/>
    <x v="0"/>
    <n v="2"/>
    <x v="1"/>
    <s v="Unknown"/>
    <s v="Unknown"/>
    <n v="2279"/>
    <n v="12"/>
    <s v="radio/TV"/>
    <x v="0"/>
  </r>
  <r>
    <n v="33"/>
    <x v="4"/>
    <x v="0"/>
    <n v="2"/>
    <x v="0"/>
    <s v="little"/>
    <s v="Unknown"/>
    <n v="1478"/>
    <n v="15"/>
    <s v="radio/TV"/>
    <x v="0"/>
  </r>
  <r>
    <n v="47"/>
    <x v="2"/>
    <x v="0"/>
    <n v="2"/>
    <x v="1"/>
    <s v="little"/>
    <s v="Unknown"/>
    <n v="5103"/>
    <n v="24"/>
    <s v="radio/TV"/>
    <x v="0"/>
  </r>
  <r>
    <n v="31"/>
    <x v="4"/>
    <x v="0"/>
    <n v="1"/>
    <x v="0"/>
    <s v="moderate"/>
    <s v="moderate"/>
    <n v="9857"/>
    <n v="36"/>
    <s v="business"/>
    <x v="0"/>
  </r>
  <r>
    <n v="34"/>
    <x v="4"/>
    <x v="0"/>
    <n v="2"/>
    <x v="1"/>
    <s v="Unknown"/>
    <s v="Unknown"/>
    <n v="6527"/>
    <n v="60"/>
    <s v="car"/>
    <x v="0"/>
  </r>
  <r>
    <n v="27"/>
    <x v="4"/>
    <x v="0"/>
    <n v="2"/>
    <x v="0"/>
    <s v="Unknown"/>
    <s v="rich"/>
    <n v="1347"/>
    <n v="10"/>
    <s v="radio/TV"/>
    <x v="0"/>
  </r>
  <r>
    <n v="30"/>
    <x v="4"/>
    <x v="0"/>
    <n v="2"/>
    <x v="1"/>
    <s v="moderate"/>
    <s v="moderate"/>
    <n v="2862"/>
    <n v="36"/>
    <s v="car"/>
    <x v="0"/>
  </r>
  <r>
    <n v="35"/>
    <x v="4"/>
    <x v="0"/>
    <n v="2"/>
    <x v="0"/>
    <s v="moderate"/>
    <s v="Unknown"/>
    <n v="2753"/>
    <n v="9"/>
    <s v="radio/TV"/>
    <x v="0"/>
  </r>
  <r>
    <n v="31"/>
    <x v="4"/>
    <x v="0"/>
    <n v="2"/>
    <x v="0"/>
    <s v="rich"/>
    <s v="little"/>
    <n v="3651"/>
    <n v="12"/>
    <s v="car"/>
    <x v="0"/>
  </r>
  <r>
    <n v="25"/>
    <x v="1"/>
    <x v="0"/>
    <n v="2"/>
    <x v="0"/>
    <s v="little"/>
    <s v="little"/>
    <n v="975"/>
    <n v="15"/>
    <s v="furniture/equipment"/>
    <x v="0"/>
  </r>
  <r>
    <n v="25"/>
    <x v="1"/>
    <x v="1"/>
    <n v="1"/>
    <x v="0"/>
    <s v="moderate"/>
    <s v="moderate"/>
    <n v="2631"/>
    <n v="15"/>
    <s v="repairs"/>
    <x v="0"/>
  </r>
  <r>
    <n v="29"/>
    <x v="4"/>
    <x v="0"/>
    <n v="2"/>
    <x v="0"/>
    <s v="moderate"/>
    <s v="moderate"/>
    <n v="2896"/>
    <n v="24"/>
    <s v="radio/TV"/>
    <x v="0"/>
  </r>
  <r>
    <n v="44"/>
    <x v="3"/>
    <x v="0"/>
    <n v="1"/>
    <x v="0"/>
    <s v="Unknown"/>
    <s v="little"/>
    <n v="4716"/>
    <n v="6"/>
    <s v="car"/>
    <x v="0"/>
  </r>
  <r>
    <n v="28"/>
    <x v="4"/>
    <x v="0"/>
    <n v="2"/>
    <x v="0"/>
    <s v="little"/>
    <s v="Unknown"/>
    <n v="2284"/>
    <n v="24"/>
    <s v="radio/TV"/>
    <x v="0"/>
  </r>
  <r>
    <n v="50"/>
    <x v="2"/>
    <x v="0"/>
    <n v="2"/>
    <x v="2"/>
    <s v="quite rich"/>
    <s v="Unknown"/>
    <n v="1236"/>
    <n v="6"/>
    <s v="car"/>
    <x v="0"/>
  </r>
  <r>
    <n v="29"/>
    <x v="4"/>
    <x v="0"/>
    <n v="2"/>
    <x v="0"/>
    <s v="little"/>
    <s v="moderate"/>
    <n v="1103"/>
    <n v="12"/>
    <s v="radio/TV"/>
    <x v="0"/>
  </r>
  <r>
    <n v="38"/>
    <x v="3"/>
    <x v="1"/>
    <n v="0"/>
    <x v="0"/>
    <s v="little"/>
    <s v="Unknown"/>
    <n v="926"/>
    <n v="12"/>
    <s v="car"/>
    <x v="0"/>
  </r>
  <r>
    <n v="24"/>
    <x v="1"/>
    <x v="0"/>
    <n v="2"/>
    <x v="0"/>
    <s v="little"/>
    <s v="Unknown"/>
    <n v="1800"/>
    <n v="18"/>
    <s v="radio/TV"/>
    <x v="0"/>
  </r>
  <r>
    <n v="40"/>
    <x v="3"/>
    <x v="0"/>
    <n v="3"/>
    <x v="2"/>
    <s v="little"/>
    <s v="rich"/>
    <n v="1905"/>
    <n v="15"/>
    <s v="education"/>
    <x v="0"/>
  </r>
  <r>
    <n v="29"/>
    <x v="4"/>
    <x v="1"/>
    <n v="1"/>
    <x v="2"/>
    <s v="quite rich"/>
    <s v="Unknown"/>
    <n v="1123"/>
    <n v="12"/>
    <s v="furniture/equipment"/>
    <x v="0"/>
  </r>
  <r>
    <n v="46"/>
    <x v="2"/>
    <x v="0"/>
    <n v="2"/>
    <x v="1"/>
    <s v="little"/>
    <s v="little"/>
    <n v="6331"/>
    <n v="48"/>
    <s v="car"/>
    <x v="0"/>
  </r>
  <r>
    <n v="47"/>
    <x v="2"/>
    <x v="1"/>
    <n v="2"/>
    <x v="1"/>
    <s v="moderate"/>
    <s v="rich"/>
    <n v="1377"/>
    <n v="24"/>
    <s v="radio/TV"/>
    <x v="0"/>
  </r>
  <r>
    <n v="41"/>
    <x v="3"/>
    <x v="0"/>
    <n v="2"/>
    <x v="0"/>
    <s v="moderate"/>
    <s v="moderate"/>
    <n v="2503"/>
    <n v="30"/>
    <s v="business"/>
    <x v="0"/>
  </r>
  <r>
    <n v="32"/>
    <x v="4"/>
    <x v="1"/>
    <n v="2"/>
    <x v="0"/>
    <s v="little"/>
    <s v="moderate"/>
    <n v="2528"/>
    <n v="27"/>
    <s v="business"/>
    <x v="0"/>
  </r>
  <r>
    <n v="35"/>
    <x v="4"/>
    <x v="1"/>
    <n v="2"/>
    <x v="1"/>
    <s v="quite rich"/>
    <s v="Unknown"/>
    <n v="5324"/>
    <n v="15"/>
    <s v="car"/>
    <x v="0"/>
  </r>
  <r>
    <n v="24"/>
    <x v="1"/>
    <x v="0"/>
    <n v="2"/>
    <x v="0"/>
    <s v="moderate"/>
    <s v="moderate"/>
    <n v="6560"/>
    <n v="48"/>
    <s v="car"/>
    <x v="0"/>
  </r>
  <r>
    <n v="25"/>
    <x v="1"/>
    <x v="1"/>
    <n v="2"/>
    <x v="2"/>
    <s v="little"/>
    <s v="moderate"/>
    <n v="2969"/>
    <n v="12"/>
    <s v="furniture/equipment"/>
    <x v="0"/>
  </r>
  <r>
    <n v="25"/>
    <x v="1"/>
    <x v="1"/>
    <n v="2"/>
    <x v="0"/>
    <s v="little"/>
    <s v="moderate"/>
    <n v="1206"/>
    <n v="9"/>
    <s v="radio/TV"/>
    <x v="0"/>
  </r>
  <r>
    <n v="37"/>
    <x v="3"/>
    <x v="0"/>
    <n v="1"/>
    <x v="0"/>
    <s v="little"/>
    <s v="moderate"/>
    <n v="2118"/>
    <n v="9"/>
    <s v="radio/TV"/>
    <x v="0"/>
  </r>
  <r>
    <n v="32"/>
    <x v="4"/>
    <x v="0"/>
    <n v="3"/>
    <x v="0"/>
    <s v="quite rich"/>
    <s v="Unknown"/>
    <n v="629"/>
    <n v="18"/>
    <s v="radio/TV"/>
    <x v="0"/>
  </r>
  <r>
    <n v="35"/>
    <x v="4"/>
    <x v="1"/>
    <n v="2"/>
    <x v="1"/>
    <s v="little"/>
    <s v="little"/>
    <n v="1198"/>
    <n v="6"/>
    <s v="education"/>
    <x v="0"/>
  </r>
  <r>
    <n v="46"/>
    <x v="2"/>
    <x v="0"/>
    <n v="3"/>
    <x v="0"/>
    <s v="Unknown"/>
    <s v="Unknown"/>
    <n v="2476"/>
    <n v="21"/>
    <s v="car"/>
    <x v="0"/>
  </r>
  <r>
    <n v="25"/>
    <x v="1"/>
    <x v="0"/>
    <n v="1"/>
    <x v="0"/>
    <s v="little"/>
    <s v="little"/>
    <n v="1138"/>
    <n v="9"/>
    <s v="radio/TV"/>
    <x v="0"/>
  </r>
  <r>
    <n v="27"/>
    <x v="4"/>
    <x v="0"/>
    <n v="3"/>
    <x v="0"/>
    <s v="little"/>
    <s v="moderate"/>
    <n v="14027"/>
    <n v="60"/>
    <s v="car"/>
    <x v="1"/>
  </r>
  <r>
    <n v="63"/>
    <x v="0"/>
    <x v="0"/>
    <n v="2"/>
    <x v="0"/>
    <s v="Unknown"/>
    <s v="Unknown"/>
    <n v="7596"/>
    <n v="30"/>
    <s v="car"/>
    <x v="0"/>
  </r>
  <r>
    <n v="40"/>
    <x v="3"/>
    <x v="0"/>
    <n v="2"/>
    <x v="0"/>
    <s v="Unknown"/>
    <s v="Unknown"/>
    <n v="3077"/>
    <n v="30"/>
    <s v="radio/TV"/>
    <x v="0"/>
  </r>
  <r>
    <n v="32"/>
    <x v="4"/>
    <x v="0"/>
    <n v="3"/>
    <x v="1"/>
    <s v="little"/>
    <s v="Unknown"/>
    <n v="1505"/>
    <n v="18"/>
    <s v="radio/TV"/>
    <x v="0"/>
  </r>
  <r>
    <n v="31"/>
    <x v="4"/>
    <x v="0"/>
    <n v="2"/>
    <x v="0"/>
    <s v="Unknown"/>
    <s v="rich"/>
    <n v="3148"/>
    <n v="24"/>
    <s v="radio/TV"/>
    <x v="0"/>
  </r>
  <r>
    <n v="31"/>
    <x v="4"/>
    <x v="0"/>
    <n v="2"/>
    <x v="0"/>
    <s v="moderate"/>
    <s v="moderate"/>
    <n v="6148"/>
    <n v="20"/>
    <s v="car"/>
    <x v="0"/>
  </r>
  <r>
    <n v="34"/>
    <x v="4"/>
    <x v="0"/>
    <n v="3"/>
    <x v="0"/>
    <s v="little"/>
    <s v="rich"/>
    <n v="1337"/>
    <n v="9"/>
    <s v="radio/TV"/>
    <x v="0"/>
  </r>
  <r>
    <n v="24"/>
    <x v="1"/>
    <x v="1"/>
    <n v="2"/>
    <x v="2"/>
    <s v="rich"/>
    <s v="moderate"/>
    <n v="433"/>
    <n v="6"/>
    <s v="education"/>
    <x v="0"/>
  </r>
  <r>
    <n v="24"/>
    <x v="1"/>
    <x v="1"/>
    <n v="1"/>
    <x v="0"/>
    <s v="little"/>
    <s v="little"/>
    <n v="1228"/>
    <n v="12"/>
    <s v="car"/>
    <x v="0"/>
  </r>
  <r>
    <n v="66"/>
    <x v="0"/>
    <x v="1"/>
    <n v="1"/>
    <x v="0"/>
    <s v="quite rich"/>
    <s v="moderate"/>
    <n v="790"/>
    <n v="9"/>
    <s v="radio/TV"/>
    <x v="0"/>
  </r>
  <r>
    <n v="21"/>
    <x v="1"/>
    <x v="1"/>
    <n v="2"/>
    <x v="2"/>
    <s v="little"/>
    <s v="Unknown"/>
    <n v="2570"/>
    <n v="27"/>
    <s v="car"/>
    <x v="0"/>
  </r>
  <r>
    <n v="41"/>
    <x v="3"/>
    <x v="1"/>
    <n v="1"/>
    <x v="0"/>
    <s v="rich"/>
    <s v="Unknown"/>
    <n v="250"/>
    <n v="6"/>
    <s v="car"/>
    <x v="0"/>
  </r>
  <r>
    <n v="47"/>
    <x v="2"/>
    <x v="0"/>
    <n v="1"/>
    <x v="0"/>
    <s v="quite rich"/>
    <s v="Unknown"/>
    <n v="1316"/>
    <n v="15"/>
    <s v="radio/TV"/>
    <x v="0"/>
  </r>
  <r>
    <n v="25"/>
    <x v="1"/>
    <x v="1"/>
    <n v="2"/>
    <x v="2"/>
    <s v="little"/>
    <s v="little"/>
    <n v="1882"/>
    <n v="18"/>
    <s v="radio/TV"/>
    <x v="0"/>
  </r>
  <r>
    <n v="59"/>
    <x v="2"/>
    <x v="1"/>
    <n v="2"/>
    <x v="2"/>
    <s v="little"/>
    <s v="moderate"/>
    <n v="6416"/>
    <n v="48"/>
    <s v="business"/>
    <x v="0"/>
  </r>
  <r>
    <n v="36"/>
    <x v="3"/>
    <x v="0"/>
    <n v="2"/>
    <x v="0"/>
    <s v="rich"/>
    <s v="rich"/>
    <n v="1275"/>
    <n v="24"/>
    <s v="business"/>
    <x v="0"/>
  </r>
  <r>
    <n v="33"/>
    <x v="4"/>
    <x v="0"/>
    <n v="2"/>
    <x v="0"/>
    <s v="little"/>
    <s v="moderate"/>
    <n v="6403"/>
    <n v="24"/>
    <s v="radio/TV"/>
    <x v="0"/>
  </r>
  <r>
    <n v="21"/>
    <x v="1"/>
    <x v="0"/>
    <n v="1"/>
    <x v="2"/>
    <s v="little"/>
    <s v="little"/>
    <n v="1987"/>
    <n v="24"/>
    <s v="radio/TV"/>
    <x v="0"/>
  </r>
  <r>
    <n v="44"/>
    <x v="3"/>
    <x v="1"/>
    <n v="1"/>
    <x v="0"/>
    <s v="little"/>
    <s v="moderate"/>
    <n v="760"/>
    <n v="8"/>
    <s v="radio/TV"/>
    <x v="0"/>
  </r>
  <r>
    <n v="28"/>
    <x v="4"/>
    <x v="1"/>
    <n v="2"/>
    <x v="2"/>
    <s v="rich"/>
    <s v="Unknown"/>
    <n v="2603"/>
    <n v="24"/>
    <s v="car"/>
    <x v="0"/>
  </r>
  <r>
    <n v="37"/>
    <x v="3"/>
    <x v="1"/>
    <n v="2"/>
    <x v="0"/>
    <s v="little"/>
    <s v="Unknown"/>
    <n v="3380"/>
    <n v="4"/>
    <s v="car"/>
    <x v="0"/>
  </r>
  <r>
    <n v="29"/>
    <x v="4"/>
    <x v="1"/>
    <n v="0"/>
    <x v="0"/>
    <s v="Unknown"/>
    <s v="moderate"/>
    <n v="3990"/>
    <n v="36"/>
    <s v="domestic appliances"/>
    <x v="0"/>
  </r>
  <r>
    <n v="23"/>
    <x v="1"/>
    <x v="1"/>
    <n v="3"/>
    <x v="2"/>
    <s v="little"/>
    <s v="moderate"/>
    <n v="11560"/>
    <n v="24"/>
    <s v="car"/>
    <x v="1"/>
  </r>
  <r>
    <n v="35"/>
    <x v="4"/>
    <x v="0"/>
    <n v="1"/>
    <x v="0"/>
    <s v="moderate"/>
    <s v="little"/>
    <n v="4380"/>
    <n v="18"/>
    <s v="car"/>
    <x v="0"/>
  </r>
  <r>
    <n v="45"/>
    <x v="3"/>
    <x v="0"/>
    <n v="3"/>
    <x v="0"/>
    <s v="little"/>
    <s v="Unknown"/>
    <n v="6761"/>
    <n v="6"/>
    <s v="car"/>
    <x v="0"/>
  </r>
  <r>
    <n v="26"/>
    <x v="4"/>
    <x v="1"/>
    <n v="1"/>
    <x v="2"/>
    <s v="moderate"/>
    <s v="moderate"/>
    <n v="4280"/>
    <n v="30"/>
    <s v="business"/>
    <x v="0"/>
  </r>
  <r>
    <n v="32"/>
    <x v="4"/>
    <x v="0"/>
    <n v="2"/>
    <x v="0"/>
    <s v="moderate"/>
    <s v="little"/>
    <n v="2325"/>
    <n v="24"/>
    <s v="car"/>
    <x v="0"/>
  </r>
  <r>
    <n v="23"/>
    <x v="1"/>
    <x v="0"/>
    <n v="1"/>
    <x v="0"/>
    <s v="little"/>
    <s v="moderate"/>
    <n v="1048"/>
    <n v="10"/>
    <s v="radio/TV"/>
    <x v="0"/>
  </r>
  <r>
    <n v="41"/>
    <x v="3"/>
    <x v="0"/>
    <n v="2"/>
    <x v="0"/>
    <s v="Unknown"/>
    <s v="Unknown"/>
    <n v="3160"/>
    <n v="21"/>
    <s v="radio/TV"/>
    <x v="0"/>
  </r>
  <r>
    <n v="22"/>
    <x v="1"/>
    <x v="0"/>
    <n v="2"/>
    <x v="0"/>
    <s v="quite rich"/>
    <s v="little"/>
    <n v="2483"/>
    <n v="24"/>
    <s v="furniture/equipment"/>
    <x v="0"/>
  </r>
  <r>
    <n v="30"/>
    <x v="4"/>
    <x v="0"/>
    <n v="3"/>
    <x v="0"/>
    <s v="Unknown"/>
    <s v="little"/>
    <n v="14179"/>
    <n v="39"/>
    <s v="furniture/equipment"/>
    <x v="0"/>
  </r>
  <r>
    <n v="28"/>
    <x v="4"/>
    <x v="0"/>
    <n v="1"/>
    <x v="0"/>
    <s v="little"/>
    <s v="little"/>
    <n v="1797"/>
    <n v="13"/>
    <s v="business"/>
    <x v="0"/>
  </r>
  <r>
    <n v="23"/>
    <x v="1"/>
    <x v="1"/>
    <n v="2"/>
    <x v="2"/>
    <s v="little"/>
    <s v="little"/>
    <n v="2511"/>
    <n v="15"/>
    <s v="car"/>
    <x v="0"/>
  </r>
  <r>
    <n v="37"/>
    <x v="3"/>
    <x v="1"/>
    <n v="1"/>
    <x v="0"/>
    <s v="little"/>
    <s v="little"/>
    <n v="1274"/>
    <n v="12"/>
    <s v="car"/>
    <x v="0"/>
  </r>
  <r>
    <n v="26"/>
    <x v="4"/>
    <x v="0"/>
    <n v="2"/>
    <x v="0"/>
    <s v="Unknown"/>
    <s v="Unknown"/>
    <n v="5248"/>
    <n v="21"/>
    <s v="car"/>
    <x v="0"/>
  </r>
  <r>
    <n v="33"/>
    <x v="4"/>
    <x v="0"/>
    <n v="2"/>
    <x v="0"/>
    <s v="little"/>
    <s v="Unknown"/>
    <n v="3029"/>
    <n v="15"/>
    <s v="car"/>
    <x v="0"/>
  </r>
  <r>
    <n v="49"/>
    <x v="2"/>
    <x v="1"/>
    <n v="2"/>
    <x v="0"/>
    <s v="little"/>
    <s v="little"/>
    <n v="428"/>
    <n v="6"/>
    <s v="furniture/equipment"/>
    <x v="0"/>
  </r>
  <r>
    <n v="23"/>
    <x v="1"/>
    <x v="1"/>
    <n v="1"/>
    <x v="0"/>
    <s v="little"/>
    <s v="little"/>
    <n v="976"/>
    <n v="18"/>
    <s v="car"/>
    <x v="0"/>
  </r>
  <r>
    <n v="23"/>
    <x v="1"/>
    <x v="1"/>
    <n v="1"/>
    <x v="2"/>
    <s v="moderate"/>
    <s v="moderate"/>
    <n v="841"/>
    <n v="12"/>
    <s v="business"/>
    <x v="0"/>
  </r>
  <r>
    <n v="25"/>
    <x v="1"/>
    <x v="1"/>
    <n v="2"/>
    <x v="0"/>
    <s v="little"/>
    <s v="Unknown"/>
    <n v="5771"/>
    <n v="30"/>
    <s v="radio/TV"/>
    <x v="0"/>
  </r>
  <r>
    <n v="55"/>
    <x v="2"/>
    <x v="0"/>
    <n v="2"/>
    <x v="1"/>
    <s v="rich"/>
    <s v="Unknown"/>
    <n v="1555"/>
    <n v="12"/>
    <s v="repairs"/>
    <x v="0"/>
  </r>
  <r>
    <n v="32"/>
    <x v="4"/>
    <x v="1"/>
    <n v="2"/>
    <x v="2"/>
    <s v="Unknown"/>
    <s v="little"/>
    <n v="1285"/>
    <n v="24"/>
    <s v="car"/>
    <x v="0"/>
  </r>
  <r>
    <n v="74"/>
    <x v="0"/>
    <x v="0"/>
    <n v="0"/>
    <x v="0"/>
    <s v="little"/>
    <s v="rich"/>
    <n v="1299"/>
    <n v="6"/>
    <s v="car"/>
    <x v="0"/>
  </r>
  <r>
    <n v="39"/>
    <x v="3"/>
    <x v="0"/>
    <n v="2"/>
    <x v="1"/>
    <s v="Unknown"/>
    <s v="rich"/>
    <n v="1271"/>
    <n v="15"/>
    <s v="radio/TV"/>
    <x v="0"/>
  </r>
  <r>
    <n v="31"/>
    <x v="4"/>
    <x v="0"/>
    <n v="2"/>
    <x v="0"/>
    <s v="little"/>
    <s v="Unknown"/>
    <n v="1393"/>
    <n v="24"/>
    <s v="car"/>
    <x v="0"/>
  </r>
  <r>
    <n v="35"/>
    <x v="4"/>
    <x v="0"/>
    <n v="2"/>
    <x v="0"/>
    <s v="little"/>
    <s v="little"/>
    <n v="691"/>
    <n v="12"/>
    <s v="car"/>
    <x v="0"/>
  </r>
  <r>
    <n v="59"/>
    <x v="2"/>
    <x v="1"/>
    <n v="2"/>
    <x v="0"/>
    <s v="Unknown"/>
    <s v="Unknown"/>
    <n v="5045"/>
    <n v="15"/>
    <s v="car"/>
    <x v="0"/>
  </r>
  <r>
    <n v="24"/>
    <x v="1"/>
    <x v="1"/>
    <n v="2"/>
    <x v="2"/>
    <s v="little"/>
    <s v="little"/>
    <n v="2124"/>
    <n v="18"/>
    <s v="furniture/equipment"/>
    <x v="0"/>
  </r>
  <r>
    <n v="24"/>
    <x v="1"/>
    <x v="0"/>
    <n v="1"/>
    <x v="0"/>
    <s v="little"/>
    <s v="little"/>
    <n v="2214"/>
    <n v="12"/>
    <s v="radio/TV"/>
    <x v="0"/>
  </r>
  <r>
    <n v="30"/>
    <x v="4"/>
    <x v="0"/>
    <n v="3"/>
    <x v="1"/>
    <s v="Unknown"/>
    <s v="Unknown"/>
    <n v="12680"/>
    <n v="21"/>
    <s v="car"/>
    <x v="0"/>
  </r>
  <r>
    <n v="27"/>
    <x v="4"/>
    <x v="0"/>
    <n v="2"/>
    <x v="0"/>
    <s v="moderate"/>
    <s v="Unknown"/>
    <n v="2463"/>
    <n v="24"/>
    <s v="car"/>
    <x v="0"/>
  </r>
  <r>
    <n v="40"/>
    <x v="3"/>
    <x v="0"/>
    <n v="1"/>
    <x v="0"/>
    <s v="little"/>
    <s v="moderate"/>
    <n v="1155"/>
    <n v="12"/>
    <s v="radio/TV"/>
    <x v="0"/>
  </r>
  <r>
    <n v="31"/>
    <x v="4"/>
    <x v="0"/>
    <n v="1"/>
    <x v="0"/>
    <s v="little"/>
    <s v="little"/>
    <n v="3108"/>
    <n v="30"/>
    <s v="furniture/equipment"/>
    <x v="0"/>
  </r>
  <r>
    <n v="31"/>
    <x v="4"/>
    <x v="1"/>
    <n v="2"/>
    <x v="2"/>
    <s v="Unknown"/>
    <s v="Unknown"/>
    <n v="2901"/>
    <n v="10"/>
    <s v="car"/>
    <x v="0"/>
  </r>
  <r>
    <n v="28"/>
    <x v="4"/>
    <x v="0"/>
    <n v="2"/>
    <x v="2"/>
    <s v="little"/>
    <s v="moderate"/>
    <n v="3617"/>
    <n v="12"/>
    <s v="furniture/equipment"/>
    <x v="0"/>
  </r>
  <r>
    <n v="63"/>
    <x v="0"/>
    <x v="0"/>
    <n v="1"/>
    <x v="0"/>
    <s v="little"/>
    <s v="Unknown"/>
    <n v="1655"/>
    <n v="12"/>
    <s v="radio/TV"/>
    <x v="0"/>
  </r>
  <r>
    <n v="26"/>
    <x v="4"/>
    <x v="1"/>
    <n v="2"/>
    <x v="2"/>
    <s v="Unknown"/>
    <s v="little"/>
    <n v="2812"/>
    <n v="24"/>
    <s v="car"/>
    <x v="0"/>
  </r>
  <r>
    <n v="25"/>
    <x v="1"/>
    <x v="1"/>
    <n v="3"/>
    <x v="0"/>
    <s v="little"/>
    <s v="little"/>
    <n v="8065"/>
    <n v="36"/>
    <s v="education"/>
    <x v="0"/>
  </r>
  <r>
    <n v="36"/>
    <x v="3"/>
    <x v="0"/>
    <n v="3"/>
    <x v="0"/>
    <s v="little"/>
    <s v="Unknown"/>
    <n v="3275"/>
    <n v="21"/>
    <s v="car"/>
    <x v="0"/>
  </r>
  <r>
    <n v="52"/>
    <x v="2"/>
    <x v="0"/>
    <n v="2"/>
    <x v="0"/>
    <s v="moderate"/>
    <s v="Unknown"/>
    <n v="2223"/>
    <n v="24"/>
    <s v="radio/TV"/>
    <x v="0"/>
  </r>
  <r>
    <n v="66"/>
    <x v="0"/>
    <x v="0"/>
    <n v="0"/>
    <x v="1"/>
    <s v="quite rich"/>
    <s v="rich"/>
    <n v="1480"/>
    <n v="12"/>
    <s v="car"/>
    <x v="0"/>
  </r>
  <r>
    <n v="25"/>
    <x v="1"/>
    <x v="1"/>
    <n v="2"/>
    <x v="2"/>
    <s v="Unknown"/>
    <s v="little"/>
    <n v="1371"/>
    <n v="24"/>
    <s v="car"/>
    <x v="0"/>
  </r>
  <r>
    <n v="37"/>
    <x v="3"/>
    <x v="0"/>
    <n v="2"/>
    <x v="0"/>
    <s v="little"/>
    <s v="Unknown"/>
    <n v="3535"/>
    <n v="36"/>
    <s v="car"/>
    <x v="0"/>
  </r>
  <r>
    <n v="25"/>
    <x v="1"/>
    <x v="1"/>
    <n v="2"/>
    <x v="0"/>
    <s v="little"/>
    <s v="little"/>
    <n v="3509"/>
    <n v="18"/>
    <s v="radio/TV"/>
    <x v="0"/>
  </r>
  <r>
    <n v="38"/>
    <x v="3"/>
    <x v="0"/>
    <n v="3"/>
    <x v="0"/>
    <s v="rich"/>
    <s v="Unknown"/>
    <n v="5711"/>
    <n v="36"/>
    <s v="car"/>
    <x v="0"/>
  </r>
  <r>
    <n v="67"/>
    <x v="0"/>
    <x v="1"/>
    <n v="2"/>
    <x v="0"/>
    <s v="little"/>
    <s v="moderate"/>
    <n v="3872"/>
    <n v="18"/>
    <s v="repairs"/>
    <x v="0"/>
  </r>
  <r>
    <n v="25"/>
    <x v="1"/>
    <x v="0"/>
    <n v="2"/>
    <x v="0"/>
    <s v="little"/>
    <s v="moderate"/>
    <n v="4933"/>
    <n v="39"/>
    <s v="radio/TV"/>
    <x v="0"/>
  </r>
  <r>
    <n v="60"/>
    <x v="2"/>
    <x v="0"/>
    <n v="2"/>
    <x v="0"/>
    <s v="rich"/>
    <s v="Unknown"/>
    <n v="1940"/>
    <n v="24"/>
    <s v="car"/>
    <x v="0"/>
  </r>
  <r>
    <n v="31"/>
    <x v="4"/>
    <x v="0"/>
    <n v="1"/>
    <x v="0"/>
    <s v="little"/>
    <s v="moderate"/>
    <n v="1410"/>
    <n v="12"/>
    <s v="education"/>
    <x v="0"/>
  </r>
  <r>
    <n v="23"/>
    <x v="1"/>
    <x v="1"/>
    <n v="1"/>
    <x v="0"/>
    <s v="moderate"/>
    <s v="moderate"/>
    <n v="836"/>
    <n v="12"/>
    <s v="car"/>
    <x v="0"/>
  </r>
  <r>
    <n v="60"/>
    <x v="2"/>
    <x v="0"/>
    <n v="3"/>
    <x v="0"/>
    <s v="Unknown"/>
    <s v="moderate"/>
    <n v="6468"/>
    <n v="20"/>
    <s v="car"/>
    <x v="0"/>
  </r>
  <r>
    <n v="35"/>
    <x v="4"/>
    <x v="0"/>
    <n v="1"/>
    <x v="0"/>
    <s v="rich"/>
    <s v="moderate"/>
    <n v="1941"/>
    <n v="18"/>
    <s v="business"/>
    <x v="0"/>
  </r>
  <r>
    <n v="40"/>
    <x v="3"/>
    <x v="0"/>
    <n v="2"/>
    <x v="0"/>
    <s v="quite rich"/>
    <s v="Unknown"/>
    <n v="2675"/>
    <n v="22"/>
    <s v="radio/TV"/>
    <x v="0"/>
  </r>
  <r>
    <n v="38"/>
    <x v="3"/>
    <x v="0"/>
    <n v="2"/>
    <x v="0"/>
    <s v="Unknown"/>
    <s v="Unknown"/>
    <n v="2751"/>
    <n v="48"/>
    <s v="car"/>
    <x v="0"/>
  </r>
  <r>
    <n v="50"/>
    <x v="2"/>
    <x v="0"/>
    <n v="2"/>
    <x v="1"/>
    <s v="little"/>
    <s v="moderate"/>
    <n v="6224"/>
    <n v="48"/>
    <s v="education"/>
    <x v="0"/>
  </r>
  <r>
    <n v="27"/>
    <x v="4"/>
    <x v="0"/>
    <n v="2"/>
    <x v="0"/>
    <s v="little"/>
    <s v="little"/>
    <n v="5998"/>
    <n v="40"/>
    <s v="education"/>
    <x v="0"/>
  </r>
  <r>
    <n v="39"/>
    <x v="3"/>
    <x v="1"/>
    <n v="2"/>
    <x v="0"/>
    <s v="little"/>
    <s v="moderate"/>
    <n v="1188"/>
    <n v="21"/>
    <s v="business"/>
    <x v="0"/>
  </r>
  <r>
    <n v="41"/>
    <x v="3"/>
    <x v="0"/>
    <n v="3"/>
    <x v="0"/>
    <s v="Unknown"/>
    <s v="Unknown"/>
    <n v="6313"/>
    <n v="24"/>
    <s v="car"/>
    <x v="0"/>
  </r>
  <r>
    <n v="27"/>
    <x v="4"/>
    <x v="0"/>
    <n v="2"/>
    <x v="0"/>
    <s v="Unknown"/>
    <s v="Unknown"/>
    <n v="1221"/>
    <n v="6"/>
    <s v="furniture/equipment"/>
    <x v="0"/>
  </r>
  <r>
    <n v="51"/>
    <x v="2"/>
    <x v="0"/>
    <n v="2"/>
    <x v="1"/>
    <s v="little"/>
    <s v="rich"/>
    <n v="2892"/>
    <n v="24"/>
    <s v="furniture/equipment"/>
    <x v="0"/>
  </r>
  <r>
    <n v="32"/>
    <x v="4"/>
    <x v="0"/>
    <n v="2"/>
    <x v="2"/>
    <s v="quite rich"/>
    <s v="Unknown"/>
    <n v="3062"/>
    <n v="24"/>
    <s v="furniture/equipment"/>
    <x v="0"/>
  </r>
  <r>
    <n v="22"/>
    <x v="1"/>
    <x v="1"/>
    <n v="2"/>
    <x v="2"/>
    <s v="moderate"/>
    <s v="Unknown"/>
    <n v="2301"/>
    <n v="9"/>
    <s v="furniture/equipment"/>
    <x v="0"/>
  </r>
  <r>
    <n v="51"/>
    <x v="2"/>
    <x v="0"/>
    <n v="2"/>
    <x v="1"/>
    <s v="Unknown"/>
    <s v="little"/>
    <n v="7511"/>
    <n v="18"/>
    <s v="car"/>
    <x v="0"/>
  </r>
  <r>
    <n v="22"/>
    <x v="1"/>
    <x v="1"/>
    <n v="1"/>
    <x v="2"/>
    <s v="little"/>
    <s v="Unknown"/>
    <n v="1258"/>
    <n v="12"/>
    <s v="furniture/equipment"/>
    <x v="0"/>
  </r>
  <r>
    <n v="54"/>
    <x v="2"/>
    <x v="0"/>
    <n v="2"/>
    <x v="0"/>
    <s v="Unknown"/>
    <s v="Unknown"/>
    <n v="717"/>
    <n v="24"/>
    <s v="car"/>
    <x v="0"/>
  </r>
  <r>
    <n v="35"/>
    <x v="4"/>
    <x v="0"/>
    <n v="0"/>
    <x v="0"/>
    <s v="Unknown"/>
    <s v="moderate"/>
    <n v="1549"/>
    <n v="9"/>
    <s v="car"/>
    <x v="0"/>
  </r>
  <r>
    <n v="54"/>
    <x v="2"/>
    <x v="0"/>
    <n v="2"/>
    <x v="1"/>
    <s v="little"/>
    <s v="Unknown"/>
    <n v="1597"/>
    <n v="24"/>
    <s v="education"/>
    <x v="0"/>
  </r>
  <r>
    <n v="48"/>
    <x v="2"/>
    <x v="1"/>
    <n v="1"/>
    <x v="2"/>
    <s v="little"/>
    <s v="moderate"/>
    <n v="1795"/>
    <n v="18"/>
    <s v="radio/TV"/>
    <x v="0"/>
  </r>
  <r>
    <n v="24"/>
    <x v="1"/>
    <x v="1"/>
    <n v="2"/>
    <x v="0"/>
    <s v="little"/>
    <s v="little"/>
    <n v="4272"/>
    <n v="20"/>
    <s v="furniture/equipment"/>
    <x v="0"/>
  </r>
  <r>
    <n v="35"/>
    <x v="4"/>
    <x v="0"/>
    <n v="2"/>
    <x v="0"/>
    <s v="Unknown"/>
    <s v="Unknown"/>
    <n v="976"/>
    <n v="12"/>
    <s v="radio/TV"/>
    <x v="0"/>
  </r>
  <r>
    <n v="24"/>
    <x v="1"/>
    <x v="1"/>
    <n v="0"/>
    <x v="2"/>
    <s v="Unknown"/>
    <s v="moderate"/>
    <n v="7472"/>
    <n v="12"/>
    <s v="car"/>
    <x v="0"/>
  </r>
  <r>
    <n v="24"/>
    <x v="1"/>
    <x v="0"/>
    <n v="2"/>
    <x v="0"/>
    <s v="little"/>
    <s v="little"/>
    <n v="9271"/>
    <n v="36"/>
    <s v="car"/>
    <x v="1"/>
  </r>
  <r>
    <n v="26"/>
    <x v="4"/>
    <x v="0"/>
    <n v="1"/>
    <x v="0"/>
    <s v="little"/>
    <s v="moderate"/>
    <n v="590"/>
    <n v="6"/>
    <s v="radio/TV"/>
    <x v="0"/>
  </r>
  <r>
    <n v="65"/>
    <x v="0"/>
    <x v="0"/>
    <n v="2"/>
    <x v="0"/>
    <s v="Unknown"/>
    <s v="Unknown"/>
    <n v="930"/>
    <n v="12"/>
    <s v="radio/TV"/>
    <x v="0"/>
  </r>
  <r>
    <n v="55"/>
    <x v="2"/>
    <x v="0"/>
    <n v="3"/>
    <x v="1"/>
    <s v="little"/>
    <s v="moderate"/>
    <n v="9283"/>
    <n v="42"/>
    <s v="car"/>
    <x v="1"/>
  </r>
  <r>
    <n v="26"/>
    <x v="4"/>
    <x v="1"/>
    <n v="0"/>
    <x v="2"/>
    <s v="little"/>
    <s v="moderate"/>
    <n v="1778"/>
    <n v="15"/>
    <s v="car"/>
    <x v="0"/>
  </r>
  <r>
    <n v="26"/>
    <x v="4"/>
    <x v="0"/>
    <n v="2"/>
    <x v="0"/>
    <s v="little"/>
    <s v="moderate"/>
    <n v="907"/>
    <n v="8"/>
    <s v="business"/>
    <x v="0"/>
  </r>
  <r>
    <n v="28"/>
    <x v="4"/>
    <x v="0"/>
    <n v="1"/>
    <x v="0"/>
    <s v="little"/>
    <s v="moderate"/>
    <n v="484"/>
    <n v="6"/>
    <s v="radio/TV"/>
    <x v="0"/>
  </r>
  <r>
    <n v="24"/>
    <x v="1"/>
    <x v="0"/>
    <n v="2"/>
    <x v="0"/>
    <s v="little"/>
    <s v="little"/>
    <n v="9629"/>
    <n v="36"/>
    <s v="car"/>
    <x v="1"/>
  </r>
  <r>
    <n v="54"/>
    <x v="2"/>
    <x v="0"/>
    <n v="2"/>
    <x v="0"/>
    <s v="little"/>
    <s v="little"/>
    <n v="3051"/>
    <n v="48"/>
    <s v="domestic appliances"/>
    <x v="0"/>
  </r>
  <r>
    <n v="46"/>
    <x v="2"/>
    <x v="0"/>
    <n v="2"/>
    <x v="1"/>
    <s v="little"/>
    <s v="little"/>
    <n v="3931"/>
    <n v="48"/>
    <s v="car"/>
    <x v="0"/>
  </r>
  <r>
    <n v="54"/>
    <x v="2"/>
    <x v="1"/>
    <n v="2"/>
    <x v="2"/>
    <s v="little"/>
    <s v="moderate"/>
    <n v="7432"/>
    <n v="36"/>
    <s v="car"/>
    <x v="0"/>
  </r>
  <r>
    <n v="62"/>
    <x v="0"/>
    <x v="0"/>
    <n v="2"/>
    <x v="0"/>
    <s v="quite rich"/>
    <s v="Unknown"/>
    <n v="1338"/>
    <n v="6"/>
    <s v="domestic appliances"/>
    <x v="0"/>
  </r>
  <r>
    <n v="24"/>
    <x v="1"/>
    <x v="1"/>
    <n v="2"/>
    <x v="2"/>
    <s v="little"/>
    <s v="Unknown"/>
    <n v="1554"/>
    <n v="6"/>
    <s v="radio/TV"/>
    <x v="0"/>
  </r>
  <r>
    <n v="43"/>
    <x v="3"/>
    <x v="0"/>
    <n v="3"/>
    <x v="0"/>
    <s v="little"/>
    <s v="little"/>
    <n v="15857"/>
    <n v="36"/>
    <s v="vacation/others"/>
    <x v="1"/>
  </r>
  <r>
    <n v="26"/>
    <x v="4"/>
    <x v="0"/>
    <n v="2"/>
    <x v="0"/>
    <s v="little"/>
    <s v="little"/>
    <n v="1345"/>
    <n v="18"/>
    <s v="radio/TV"/>
    <x v="0"/>
  </r>
  <r>
    <n v="27"/>
    <x v="4"/>
    <x v="0"/>
    <n v="2"/>
    <x v="0"/>
    <s v="little"/>
    <s v="Unknown"/>
    <n v="1101"/>
    <n v="12"/>
    <s v="car"/>
    <x v="0"/>
  </r>
  <r>
    <n v="24"/>
    <x v="1"/>
    <x v="0"/>
    <n v="2"/>
    <x v="0"/>
    <s v="little"/>
    <s v="rich"/>
    <n v="3016"/>
    <n v="12"/>
    <s v="radio/TV"/>
    <x v="0"/>
  </r>
  <r>
    <n v="41"/>
    <x v="3"/>
    <x v="0"/>
    <n v="2"/>
    <x v="0"/>
    <s v="little"/>
    <s v="little"/>
    <n v="2712"/>
    <n v="36"/>
    <s v="furniture/equipment"/>
    <x v="0"/>
  </r>
  <r>
    <n v="47"/>
    <x v="2"/>
    <x v="0"/>
    <n v="1"/>
    <x v="0"/>
    <s v="little"/>
    <s v="little"/>
    <n v="731"/>
    <n v="8"/>
    <s v="car"/>
    <x v="0"/>
  </r>
  <r>
    <n v="35"/>
    <x v="4"/>
    <x v="0"/>
    <n v="3"/>
    <x v="0"/>
    <s v="little"/>
    <s v="Unknown"/>
    <n v="3780"/>
    <n v="18"/>
    <s v="furniture/equipment"/>
    <x v="0"/>
  </r>
  <r>
    <n v="30"/>
    <x v="4"/>
    <x v="0"/>
    <n v="2"/>
    <x v="0"/>
    <s v="little"/>
    <s v="little"/>
    <n v="1602"/>
    <n v="21"/>
    <s v="car"/>
    <x v="0"/>
  </r>
  <r>
    <n v="33"/>
    <x v="4"/>
    <x v="1"/>
    <n v="2"/>
    <x v="2"/>
    <s v="little"/>
    <s v="little"/>
    <n v="3966"/>
    <n v="18"/>
    <s v="car"/>
    <x v="0"/>
  </r>
  <r>
    <n v="36"/>
    <x v="3"/>
    <x v="0"/>
    <n v="2"/>
    <x v="0"/>
    <s v="little"/>
    <s v="Unknown"/>
    <n v="4165"/>
    <n v="18"/>
    <s v="business"/>
    <x v="0"/>
  </r>
  <r>
    <n v="47"/>
    <x v="2"/>
    <x v="0"/>
    <n v="2"/>
    <x v="1"/>
    <s v="Unknown"/>
    <s v="little"/>
    <n v="8335"/>
    <n v="36"/>
    <s v="car"/>
    <x v="0"/>
  </r>
  <r>
    <n v="38"/>
    <x v="3"/>
    <x v="0"/>
    <n v="2"/>
    <x v="1"/>
    <s v="Unknown"/>
    <s v="moderate"/>
    <n v="6681"/>
    <n v="48"/>
    <s v="business"/>
    <x v="0"/>
  </r>
  <r>
    <n v="44"/>
    <x v="3"/>
    <x v="0"/>
    <n v="2"/>
    <x v="0"/>
    <s v="quite rich"/>
    <s v="Unknown"/>
    <n v="2375"/>
    <n v="24"/>
    <s v="business"/>
    <x v="0"/>
  </r>
  <r>
    <n v="23"/>
    <x v="1"/>
    <x v="1"/>
    <n v="2"/>
    <x v="2"/>
    <s v="little"/>
    <s v="little"/>
    <n v="1216"/>
    <n v="18"/>
    <s v="car"/>
    <x v="0"/>
  </r>
  <r>
    <n v="29"/>
    <x v="4"/>
    <x v="0"/>
    <n v="2"/>
    <x v="2"/>
    <s v="little"/>
    <s v="little"/>
    <n v="11816"/>
    <n v="45"/>
    <s v="business"/>
    <x v="1"/>
  </r>
  <r>
    <n v="42"/>
    <x v="3"/>
    <x v="1"/>
    <n v="2"/>
    <x v="0"/>
    <s v="Unknown"/>
    <s v="moderate"/>
    <n v="5084"/>
    <n v="24"/>
    <s v="radio/TV"/>
    <x v="0"/>
  </r>
  <r>
    <n v="25"/>
    <x v="1"/>
    <x v="1"/>
    <n v="1"/>
    <x v="0"/>
    <s v="little"/>
    <s v="rich"/>
    <n v="2327"/>
    <n v="15"/>
    <s v="radio/TV"/>
    <x v="0"/>
  </r>
  <r>
    <n v="48"/>
    <x v="2"/>
    <x v="0"/>
    <n v="2"/>
    <x v="0"/>
    <s v="little"/>
    <s v="little"/>
    <n v="1082"/>
    <n v="12"/>
    <s v="car"/>
    <x v="0"/>
  </r>
  <r>
    <n v="21"/>
    <x v="1"/>
    <x v="1"/>
    <n v="2"/>
    <x v="0"/>
    <s v="Unknown"/>
    <s v="Unknown"/>
    <n v="886"/>
    <n v="12"/>
    <s v="radio/TV"/>
    <x v="0"/>
  </r>
  <r>
    <n v="23"/>
    <x v="1"/>
    <x v="1"/>
    <n v="1"/>
    <x v="2"/>
    <s v="little"/>
    <s v="Unknown"/>
    <n v="601"/>
    <n v="4"/>
    <s v="furniture/equipment"/>
    <x v="0"/>
  </r>
  <r>
    <n v="63"/>
    <x v="0"/>
    <x v="0"/>
    <n v="2"/>
    <x v="0"/>
    <s v="little"/>
    <s v="little"/>
    <n v="2957"/>
    <n v="24"/>
    <s v="car"/>
    <x v="0"/>
  </r>
  <r>
    <n v="46"/>
    <x v="2"/>
    <x v="0"/>
    <n v="2"/>
    <x v="0"/>
    <s v="little"/>
    <s v="Unknown"/>
    <n v="2611"/>
    <n v="24"/>
    <s v="radio/TV"/>
    <x v="0"/>
  </r>
  <r>
    <n v="29"/>
    <x v="4"/>
    <x v="0"/>
    <n v="2"/>
    <x v="0"/>
    <s v="little"/>
    <s v="little"/>
    <n v="5179"/>
    <n v="36"/>
    <s v="furniture/equipment"/>
    <x v="0"/>
  </r>
  <r>
    <n v="28"/>
    <x v="4"/>
    <x v="0"/>
    <n v="1"/>
    <x v="0"/>
    <s v="little"/>
    <s v="Unknown"/>
    <n v="2993"/>
    <n v="21"/>
    <s v="car"/>
    <x v="0"/>
  </r>
  <r>
    <n v="23"/>
    <x v="1"/>
    <x v="1"/>
    <n v="2"/>
    <x v="0"/>
    <s v="little"/>
    <s v="Unknown"/>
    <n v="1943"/>
    <n v="18"/>
    <s v="repairs"/>
    <x v="0"/>
  </r>
  <r>
    <n v="50"/>
    <x v="2"/>
    <x v="0"/>
    <n v="2"/>
    <x v="0"/>
    <s v="little"/>
    <s v="Unknown"/>
    <n v="1559"/>
    <n v="24"/>
    <s v="business"/>
    <x v="0"/>
  </r>
  <r>
    <n v="47"/>
    <x v="2"/>
    <x v="0"/>
    <n v="2"/>
    <x v="0"/>
    <s v="little"/>
    <s v="Unknown"/>
    <n v="3422"/>
    <n v="18"/>
    <s v="furniture/equipment"/>
    <x v="0"/>
  </r>
  <r>
    <n v="35"/>
    <x v="4"/>
    <x v="0"/>
    <n v="2"/>
    <x v="0"/>
    <s v="Unknown"/>
    <s v="moderate"/>
    <n v="3976"/>
    <n v="21"/>
    <s v="furniture/equipment"/>
    <x v="0"/>
  </r>
  <r>
    <n v="68"/>
    <x v="0"/>
    <x v="0"/>
    <n v="2"/>
    <x v="2"/>
    <s v="Unknown"/>
    <s v="Unknown"/>
    <n v="6761"/>
    <n v="18"/>
    <s v="car"/>
    <x v="0"/>
  </r>
  <r>
    <n v="28"/>
    <x v="4"/>
    <x v="0"/>
    <n v="2"/>
    <x v="0"/>
    <s v="little"/>
    <s v="Unknown"/>
    <n v="1249"/>
    <n v="24"/>
    <s v="car"/>
    <x v="0"/>
  </r>
  <r>
    <n v="59"/>
    <x v="2"/>
    <x v="0"/>
    <n v="2"/>
    <x v="0"/>
    <s v="little"/>
    <s v="little"/>
    <n v="1364"/>
    <n v="9"/>
    <s v="radio/TV"/>
    <x v="0"/>
  </r>
  <r>
    <n v="57"/>
    <x v="2"/>
    <x v="0"/>
    <n v="1"/>
    <x v="0"/>
    <s v="little"/>
    <s v="little"/>
    <n v="709"/>
    <n v="12"/>
    <s v="radio/TV"/>
    <x v="0"/>
  </r>
  <r>
    <n v="33"/>
    <x v="4"/>
    <x v="0"/>
    <n v="2"/>
    <x v="2"/>
    <s v="little"/>
    <s v="little"/>
    <n v="2235"/>
    <n v="20"/>
    <s v="car"/>
    <x v="0"/>
  </r>
  <r>
    <n v="43"/>
    <x v="3"/>
    <x v="0"/>
    <n v="2"/>
    <x v="0"/>
    <s v="Unknown"/>
    <s v="Unknown"/>
    <n v="4042"/>
    <n v="24"/>
    <s v="car"/>
    <x v="0"/>
  </r>
  <r>
    <n v="35"/>
    <x v="4"/>
    <x v="0"/>
    <n v="2"/>
    <x v="1"/>
    <s v="little"/>
    <s v="Unknown"/>
    <n v="1471"/>
    <n v="15"/>
    <s v="radio/TV"/>
    <x v="0"/>
  </r>
  <r>
    <n v="32"/>
    <x v="4"/>
    <x v="0"/>
    <n v="1"/>
    <x v="1"/>
    <s v="little"/>
    <s v="little"/>
    <n v="1442"/>
    <n v="18"/>
    <s v="car"/>
    <x v="0"/>
  </r>
  <r>
    <n v="45"/>
    <x v="3"/>
    <x v="0"/>
    <n v="2"/>
    <x v="0"/>
    <s v="little"/>
    <s v="Unknown"/>
    <n v="10875"/>
    <n v="36"/>
    <s v="car"/>
    <x v="1"/>
  </r>
  <r>
    <n v="33"/>
    <x v="4"/>
    <x v="0"/>
    <n v="2"/>
    <x v="0"/>
    <s v="moderate"/>
    <s v="Unknown"/>
    <n v="1474"/>
    <n v="24"/>
    <s v="car"/>
    <x v="0"/>
  </r>
  <r>
    <n v="40"/>
    <x v="3"/>
    <x v="1"/>
    <n v="2"/>
    <x v="0"/>
    <s v="Unknown"/>
    <s v="Unknown"/>
    <n v="894"/>
    <n v="10"/>
    <s v="education"/>
    <x v="0"/>
  </r>
  <r>
    <n v="28"/>
    <x v="4"/>
    <x v="0"/>
    <n v="2"/>
    <x v="1"/>
    <s v="little"/>
    <s v="Unknown"/>
    <n v="3343"/>
    <n v="15"/>
    <s v="furniture/equipment"/>
    <x v="0"/>
  </r>
  <r>
    <n v="29"/>
    <x v="4"/>
    <x v="1"/>
    <n v="2"/>
    <x v="0"/>
    <s v="little"/>
    <s v="little"/>
    <n v="3959"/>
    <n v="15"/>
    <s v="car"/>
    <x v="0"/>
  </r>
  <r>
    <n v="26"/>
    <x v="4"/>
    <x v="0"/>
    <n v="2"/>
    <x v="2"/>
    <s v="moderate"/>
    <s v="Unknown"/>
    <n v="3577"/>
    <n v="9"/>
    <s v="car"/>
    <x v="0"/>
  </r>
  <r>
    <n v="27"/>
    <x v="4"/>
    <x v="0"/>
    <n v="2"/>
    <x v="0"/>
    <s v="rich"/>
    <s v="Unknown"/>
    <n v="5804"/>
    <n v="24"/>
    <s v="car"/>
    <x v="0"/>
  </r>
  <r>
    <n v="28"/>
    <x v="4"/>
    <x v="0"/>
    <n v="2"/>
    <x v="0"/>
    <s v="little"/>
    <s v="Unknown"/>
    <n v="2169"/>
    <n v="18"/>
    <s v="business"/>
    <x v="0"/>
  </r>
  <r>
    <n v="35"/>
    <x v="4"/>
    <x v="1"/>
    <n v="2"/>
    <x v="0"/>
    <s v="little"/>
    <s v="little"/>
    <n v="2439"/>
    <n v="24"/>
    <s v="radio/TV"/>
    <x v="0"/>
  </r>
  <r>
    <n v="32"/>
    <x v="4"/>
    <x v="0"/>
    <n v="1"/>
    <x v="0"/>
    <s v="rich"/>
    <s v="Unknown"/>
    <n v="4526"/>
    <n v="27"/>
    <s v="furniture/equipment"/>
    <x v="0"/>
  </r>
  <r>
    <n v="25"/>
    <x v="1"/>
    <x v="0"/>
    <n v="1"/>
    <x v="2"/>
    <s v="little"/>
    <s v="Unknown"/>
    <n v="2210"/>
    <n v="10"/>
    <s v="furniture/equipment"/>
    <x v="0"/>
  </r>
  <r>
    <n v="20"/>
    <x v="1"/>
    <x v="1"/>
    <n v="2"/>
    <x v="2"/>
    <s v="quite rich"/>
    <s v="Unknown"/>
    <n v="2221"/>
    <n v="15"/>
    <s v="furniture/equipment"/>
    <x v="0"/>
  </r>
  <r>
    <n v="27"/>
    <x v="4"/>
    <x v="1"/>
    <n v="2"/>
    <x v="0"/>
    <s v="little"/>
    <s v="little"/>
    <n v="2389"/>
    <n v="18"/>
    <s v="radio/TV"/>
    <x v="0"/>
  </r>
  <r>
    <n v="42"/>
    <x v="3"/>
    <x v="0"/>
    <n v="2"/>
    <x v="0"/>
    <s v="little"/>
    <s v="Unknown"/>
    <n v="3331"/>
    <n v="12"/>
    <s v="furniture/equipment"/>
    <x v="0"/>
  </r>
  <r>
    <n v="37"/>
    <x v="3"/>
    <x v="0"/>
    <n v="2"/>
    <x v="0"/>
    <s v="Unknown"/>
    <s v="Unknown"/>
    <n v="7409"/>
    <n v="36"/>
    <s v="business"/>
    <x v="0"/>
  </r>
  <r>
    <n v="24"/>
    <x v="1"/>
    <x v="1"/>
    <n v="2"/>
    <x v="2"/>
    <s v="little"/>
    <s v="little"/>
    <n v="652"/>
    <n v="12"/>
    <s v="furniture/equipment"/>
    <x v="0"/>
  </r>
  <r>
    <n v="40"/>
    <x v="3"/>
    <x v="1"/>
    <n v="2"/>
    <x v="0"/>
    <s v="quite rich"/>
    <s v="Unknown"/>
    <n v="7678"/>
    <n v="36"/>
    <s v="furniture/equipment"/>
    <x v="0"/>
  </r>
  <r>
    <n v="46"/>
    <x v="2"/>
    <x v="0"/>
    <n v="2"/>
    <x v="0"/>
    <s v="little"/>
    <s v="rich"/>
    <n v="1343"/>
    <n v="6"/>
    <s v="car"/>
    <x v="0"/>
  </r>
  <r>
    <n v="26"/>
    <x v="4"/>
    <x v="0"/>
    <n v="2"/>
    <x v="0"/>
    <s v="moderate"/>
    <s v="little"/>
    <n v="1382"/>
    <n v="24"/>
    <s v="business"/>
    <x v="0"/>
  </r>
  <r>
    <n v="24"/>
    <x v="1"/>
    <x v="1"/>
    <n v="2"/>
    <x v="0"/>
    <s v="Unknown"/>
    <s v="Unknown"/>
    <n v="874"/>
    <n v="15"/>
    <s v="domestic appliances"/>
    <x v="0"/>
  </r>
  <r>
    <n v="29"/>
    <x v="4"/>
    <x v="0"/>
    <n v="1"/>
    <x v="0"/>
    <s v="little"/>
    <s v="little"/>
    <n v="3590"/>
    <n v="12"/>
    <s v="furniture/equipment"/>
    <x v="0"/>
  </r>
  <r>
    <n v="40"/>
    <x v="3"/>
    <x v="1"/>
    <n v="2"/>
    <x v="0"/>
    <s v="rich"/>
    <s v="moderate"/>
    <n v="1322"/>
    <n v="11"/>
    <s v="car"/>
    <x v="0"/>
  </r>
  <r>
    <n v="36"/>
    <x v="3"/>
    <x v="0"/>
    <n v="3"/>
    <x v="1"/>
    <s v="little"/>
    <s v="little"/>
    <n v="1940"/>
    <n v="18"/>
    <s v="radio/TV"/>
    <x v="0"/>
  </r>
  <r>
    <n v="28"/>
    <x v="4"/>
    <x v="0"/>
    <n v="2"/>
    <x v="0"/>
    <s v="little"/>
    <s v="Unknown"/>
    <n v="3595"/>
    <n v="36"/>
    <s v="radio/TV"/>
    <x v="0"/>
  </r>
  <r>
    <n v="27"/>
    <x v="4"/>
    <x v="0"/>
    <n v="3"/>
    <x v="1"/>
    <s v="little"/>
    <s v="little"/>
    <n v="1422"/>
    <n v="9"/>
    <s v="car"/>
    <x v="0"/>
  </r>
  <r>
    <n v="36"/>
    <x v="3"/>
    <x v="0"/>
    <n v="2"/>
    <x v="0"/>
    <s v="Unknown"/>
    <s v="Unknown"/>
    <n v="6742"/>
    <n v="30"/>
    <s v="radio/TV"/>
    <x v="0"/>
  </r>
  <r>
    <n v="38"/>
    <x v="3"/>
    <x v="0"/>
    <n v="3"/>
    <x v="0"/>
    <s v="little"/>
    <s v="Unknown"/>
    <n v="7814"/>
    <n v="24"/>
    <s v="car"/>
    <x v="0"/>
  </r>
  <r>
    <n v="48"/>
    <x v="2"/>
    <x v="0"/>
    <n v="2"/>
    <x v="1"/>
    <s v="Unknown"/>
    <s v="Unknown"/>
    <n v="9277"/>
    <n v="24"/>
    <s v="car"/>
    <x v="0"/>
  </r>
  <r>
    <n v="36"/>
    <x v="3"/>
    <x v="0"/>
    <n v="2"/>
    <x v="0"/>
    <s v="Unknown"/>
    <s v="moderate"/>
    <n v="2181"/>
    <n v="30"/>
    <s v="car"/>
    <x v="0"/>
  </r>
  <r>
    <n v="65"/>
    <x v="0"/>
    <x v="1"/>
    <n v="0"/>
    <x v="0"/>
    <s v="little"/>
    <s v="Unknown"/>
    <n v="1098"/>
    <n v="18"/>
    <s v="radio/TV"/>
    <x v="0"/>
  </r>
  <r>
    <n v="43"/>
    <x v="3"/>
    <x v="0"/>
    <n v="2"/>
    <x v="0"/>
    <s v="little"/>
    <s v="moderate"/>
    <n v="4057"/>
    <n v="24"/>
    <s v="furniture/equipment"/>
    <x v="0"/>
  </r>
  <r>
    <n v="53"/>
    <x v="2"/>
    <x v="1"/>
    <n v="2"/>
    <x v="0"/>
    <s v="little"/>
    <s v="little"/>
    <n v="795"/>
    <n v="12"/>
    <s v="education"/>
    <x v="0"/>
  </r>
  <r>
    <n v="34"/>
    <x v="4"/>
    <x v="0"/>
    <n v="2"/>
    <x v="0"/>
    <s v="Unknown"/>
    <s v="moderate"/>
    <n v="2825"/>
    <n v="24"/>
    <s v="business"/>
    <x v="0"/>
  </r>
  <r>
    <n v="23"/>
    <x v="1"/>
    <x v="0"/>
    <n v="2"/>
    <x v="0"/>
    <s v="little"/>
    <s v="moderate"/>
    <n v="15672"/>
    <n v="48"/>
    <s v="business"/>
    <x v="1"/>
  </r>
  <r>
    <n v="34"/>
    <x v="4"/>
    <x v="0"/>
    <n v="3"/>
    <x v="0"/>
    <s v="little"/>
    <s v="Unknown"/>
    <n v="6614"/>
    <n v="36"/>
    <s v="car"/>
    <x v="0"/>
  </r>
  <r>
    <n v="40"/>
    <x v="3"/>
    <x v="0"/>
    <n v="2"/>
    <x v="2"/>
    <s v="Unknown"/>
    <s v="Unknown"/>
    <n v="7824"/>
    <n v="28"/>
    <s v="car"/>
    <x v="0"/>
  </r>
  <r>
    <n v="43"/>
    <x v="3"/>
    <x v="0"/>
    <n v="3"/>
    <x v="0"/>
    <s v="little"/>
    <s v="little"/>
    <n v="2442"/>
    <n v="27"/>
    <s v="business"/>
    <x v="0"/>
  </r>
  <r>
    <n v="46"/>
    <x v="2"/>
    <x v="0"/>
    <n v="2"/>
    <x v="0"/>
    <s v="little"/>
    <s v="Unknown"/>
    <n v="1829"/>
    <n v="15"/>
    <s v="radio/TV"/>
    <x v="0"/>
  </r>
  <r>
    <n v="38"/>
    <x v="3"/>
    <x v="0"/>
    <n v="1"/>
    <x v="0"/>
    <s v="little"/>
    <s v="little"/>
    <n v="2171"/>
    <n v="12"/>
    <s v="car"/>
    <x v="0"/>
  </r>
  <r>
    <n v="34"/>
    <x v="4"/>
    <x v="0"/>
    <n v="2"/>
    <x v="0"/>
    <s v="little"/>
    <s v="moderate"/>
    <n v="5800"/>
    <n v="36"/>
    <s v="car"/>
    <x v="0"/>
  </r>
  <r>
    <n v="29"/>
    <x v="4"/>
    <x v="0"/>
    <n v="2"/>
    <x v="0"/>
    <s v="Unknown"/>
    <s v="Unknown"/>
    <n v="1169"/>
    <n v="18"/>
    <s v="radio/TV"/>
    <x v="0"/>
  </r>
  <r>
    <n v="31"/>
    <x v="4"/>
    <x v="0"/>
    <n v="3"/>
    <x v="0"/>
    <s v="Unknown"/>
    <s v="Unknown"/>
    <n v="8947"/>
    <n v="36"/>
    <s v="car"/>
    <x v="0"/>
  </r>
  <r>
    <n v="28"/>
    <x v="4"/>
    <x v="1"/>
    <n v="3"/>
    <x v="2"/>
    <s v="little"/>
    <s v="little"/>
    <n v="2606"/>
    <n v="21"/>
    <s v="radio/TV"/>
    <x v="0"/>
  </r>
  <r>
    <n v="35"/>
    <x v="4"/>
    <x v="1"/>
    <n v="2"/>
    <x v="0"/>
    <s v="rich"/>
    <s v="Unknown"/>
    <n v="1592"/>
    <n v="12"/>
    <s v="furniture/equipment"/>
    <x v="0"/>
  </r>
  <r>
    <n v="33"/>
    <x v="4"/>
    <x v="1"/>
    <n v="1"/>
    <x v="2"/>
    <s v="Unknown"/>
    <s v="Unknown"/>
    <n v="2186"/>
    <n v="15"/>
    <s v="furniture/equipment"/>
    <x v="0"/>
  </r>
  <r>
    <n v="42"/>
    <x v="3"/>
    <x v="0"/>
    <n v="2"/>
    <x v="0"/>
    <s v="little"/>
    <s v="little"/>
    <n v="4153"/>
    <n v="18"/>
    <s v="furniture/equipment"/>
    <x v="0"/>
  </r>
  <r>
    <n v="43"/>
    <x v="3"/>
    <x v="0"/>
    <n v="2"/>
    <x v="2"/>
    <s v="little"/>
    <s v="little"/>
    <n v="2625"/>
    <n v="16"/>
    <s v="car"/>
    <x v="0"/>
  </r>
  <r>
    <n v="44"/>
    <x v="3"/>
    <x v="0"/>
    <n v="2"/>
    <x v="0"/>
    <s v="Unknown"/>
    <s v="Unknown"/>
    <n v="3485"/>
    <n v="20"/>
    <s v="car"/>
    <x v="0"/>
  </r>
  <r>
    <n v="42"/>
    <x v="3"/>
    <x v="0"/>
    <n v="2"/>
    <x v="1"/>
    <s v="Unknown"/>
    <s v="Unknown"/>
    <n v="10477"/>
    <n v="36"/>
    <s v="car"/>
    <x v="0"/>
  </r>
  <r>
    <n v="40"/>
    <x v="3"/>
    <x v="0"/>
    <n v="2"/>
    <x v="2"/>
    <s v="Unknown"/>
    <s v="Unknown"/>
    <n v="1386"/>
    <n v="15"/>
    <s v="radio/TV"/>
    <x v="0"/>
  </r>
  <r>
    <n v="36"/>
    <x v="3"/>
    <x v="0"/>
    <n v="3"/>
    <x v="0"/>
    <s v="little"/>
    <s v="Unknown"/>
    <n v="1278"/>
    <n v="24"/>
    <s v="radio/TV"/>
    <x v="0"/>
  </r>
  <r>
    <n v="20"/>
    <x v="1"/>
    <x v="0"/>
    <n v="3"/>
    <x v="2"/>
    <s v="little"/>
    <s v="little"/>
    <n v="1107"/>
    <n v="12"/>
    <s v="radio/TV"/>
    <x v="0"/>
  </r>
  <r>
    <n v="24"/>
    <x v="1"/>
    <x v="0"/>
    <n v="1"/>
    <x v="0"/>
    <s v="Unknown"/>
    <s v="little"/>
    <n v="3763"/>
    <n v="21"/>
    <s v="car"/>
    <x v="0"/>
  </r>
  <r>
    <n v="27"/>
    <x v="4"/>
    <x v="0"/>
    <n v="2"/>
    <x v="0"/>
    <s v="Unknown"/>
    <s v="moderate"/>
    <n v="3711"/>
    <n v="36"/>
    <s v="education"/>
    <x v="0"/>
  </r>
  <r>
    <n v="46"/>
    <x v="2"/>
    <x v="1"/>
    <n v="1"/>
    <x v="0"/>
    <s v="little"/>
    <s v="Unknown"/>
    <n v="3594"/>
    <n v="15"/>
    <s v="car"/>
    <x v="0"/>
  </r>
  <r>
    <n v="33"/>
    <x v="4"/>
    <x v="1"/>
    <n v="1"/>
    <x v="0"/>
    <s v="Unknown"/>
    <s v="moderate"/>
    <n v="3195"/>
    <n v="9"/>
    <s v="car"/>
    <x v="0"/>
  </r>
  <r>
    <n v="34"/>
    <x v="4"/>
    <x v="1"/>
    <n v="2"/>
    <x v="0"/>
    <s v="little"/>
    <s v="Unknown"/>
    <n v="4454"/>
    <n v="36"/>
    <s v="radio/TV"/>
    <x v="0"/>
  </r>
  <r>
    <n v="25"/>
    <x v="1"/>
    <x v="1"/>
    <n v="1"/>
    <x v="0"/>
    <s v="little"/>
    <s v="moderate"/>
    <n v="4736"/>
    <n v="24"/>
    <s v="furniture/equipment"/>
    <x v="0"/>
  </r>
  <r>
    <n v="25"/>
    <x v="1"/>
    <x v="1"/>
    <n v="2"/>
    <x v="0"/>
    <s v="Unknown"/>
    <s v="moderate"/>
    <n v="2991"/>
    <n v="30"/>
    <s v="radio/TV"/>
    <x v="0"/>
  </r>
  <r>
    <n v="28"/>
    <x v="4"/>
    <x v="0"/>
    <n v="2"/>
    <x v="0"/>
    <s v="rich"/>
    <s v="Unknown"/>
    <n v="2142"/>
    <n v="11"/>
    <s v="business"/>
    <x v="0"/>
  </r>
  <r>
    <n v="31"/>
    <x v="4"/>
    <x v="0"/>
    <n v="2"/>
    <x v="2"/>
    <s v="little"/>
    <s v="little"/>
    <n v="3161"/>
    <n v="24"/>
    <s v="business"/>
    <x v="0"/>
  </r>
  <r>
    <n v="32"/>
    <x v="4"/>
    <x v="1"/>
    <n v="3"/>
    <x v="0"/>
    <s v="little"/>
    <s v="moderate"/>
    <n v="18424"/>
    <n v="48"/>
    <s v="vacation/others"/>
    <x v="1"/>
  </r>
  <r>
    <n v="32"/>
    <x v="4"/>
    <x v="0"/>
    <n v="2"/>
    <x v="0"/>
    <s v="moderate"/>
    <s v="Unknown"/>
    <n v="2848"/>
    <n v="10"/>
    <s v="car"/>
    <x v="0"/>
  </r>
  <r>
    <n v="68"/>
    <x v="0"/>
    <x v="0"/>
    <n v="3"/>
    <x v="0"/>
    <s v="little"/>
    <s v="little"/>
    <n v="14896"/>
    <n v="6"/>
    <s v="car"/>
    <x v="1"/>
  </r>
  <r>
    <n v="33"/>
    <x v="4"/>
    <x v="0"/>
    <n v="2"/>
    <x v="0"/>
    <s v="moderate"/>
    <s v="little"/>
    <n v="2359"/>
    <n v="24"/>
    <s v="furniture/equipment"/>
    <x v="0"/>
  </r>
  <r>
    <n v="39"/>
    <x v="3"/>
    <x v="0"/>
    <n v="3"/>
    <x v="2"/>
    <s v="little"/>
    <s v="little"/>
    <n v="3345"/>
    <n v="24"/>
    <s v="furniture/equipment"/>
    <x v="0"/>
  </r>
  <r>
    <n v="28"/>
    <x v="4"/>
    <x v="1"/>
    <n v="2"/>
    <x v="0"/>
    <s v="little"/>
    <s v="Unknown"/>
    <n v="1817"/>
    <n v="18"/>
    <s v="furniture/equipment"/>
    <x v="0"/>
  </r>
  <r>
    <n v="37"/>
    <x v="3"/>
    <x v="0"/>
    <n v="3"/>
    <x v="0"/>
    <s v="quite rich"/>
    <s v="Unknown"/>
    <n v="12749"/>
    <n v="48"/>
    <s v="radio/TV"/>
    <x v="0"/>
  </r>
  <r>
    <n v="22"/>
    <x v="1"/>
    <x v="1"/>
    <n v="2"/>
    <x v="2"/>
    <s v="little"/>
    <s v="little"/>
    <n v="1366"/>
    <n v="9"/>
    <s v="radio/TV"/>
    <x v="0"/>
  </r>
  <r>
    <n v="30"/>
    <x v="4"/>
    <x v="0"/>
    <n v="2"/>
    <x v="2"/>
    <s v="little"/>
    <s v="moderate"/>
    <n v="2002"/>
    <n v="12"/>
    <s v="car"/>
    <x v="0"/>
  </r>
  <r>
    <n v="55"/>
    <x v="2"/>
    <x v="0"/>
    <n v="2"/>
    <x v="0"/>
    <s v="little"/>
    <s v="little"/>
    <n v="6872"/>
    <n v="24"/>
    <s v="furniture/equipment"/>
    <x v="0"/>
  </r>
  <r>
    <n v="46"/>
    <x v="2"/>
    <x v="0"/>
    <n v="2"/>
    <x v="0"/>
    <s v="little"/>
    <s v="little"/>
    <n v="697"/>
    <n v="12"/>
    <s v="car"/>
    <x v="0"/>
  </r>
  <r>
    <n v="21"/>
    <x v="1"/>
    <x v="1"/>
    <n v="2"/>
    <x v="2"/>
    <s v="little"/>
    <s v="little"/>
    <n v="1049"/>
    <n v="18"/>
    <s v="furniture/equipment"/>
    <x v="0"/>
  </r>
  <r>
    <n v="39"/>
    <x v="3"/>
    <x v="0"/>
    <n v="2"/>
    <x v="1"/>
    <s v="little"/>
    <s v="little"/>
    <n v="10297"/>
    <n v="48"/>
    <s v="car"/>
    <x v="1"/>
  </r>
  <r>
    <n v="58"/>
    <x v="2"/>
    <x v="0"/>
    <n v="2"/>
    <x v="0"/>
    <s v="Unknown"/>
    <s v="Unknown"/>
    <n v="1867"/>
    <n v="30"/>
    <s v="radio/TV"/>
    <x v="0"/>
  </r>
  <r>
    <n v="43"/>
    <x v="3"/>
    <x v="0"/>
    <n v="1"/>
    <x v="0"/>
    <s v="little"/>
    <s v="little"/>
    <n v="1344"/>
    <n v="12"/>
    <s v="car"/>
    <x v="0"/>
  </r>
  <r>
    <n v="24"/>
    <x v="1"/>
    <x v="0"/>
    <n v="1"/>
    <x v="0"/>
    <s v="little"/>
    <s v="little"/>
    <n v="1747"/>
    <n v="24"/>
    <s v="furniture/equipment"/>
    <x v="0"/>
  </r>
  <r>
    <n v="22"/>
    <x v="1"/>
    <x v="1"/>
    <n v="2"/>
    <x v="0"/>
    <s v="little"/>
    <s v="moderate"/>
    <n v="1670"/>
    <n v="9"/>
    <s v="radio/TV"/>
    <x v="0"/>
  </r>
  <r>
    <n v="30"/>
    <x v="4"/>
    <x v="0"/>
    <n v="2"/>
    <x v="0"/>
    <s v="little"/>
    <s v="Unknown"/>
    <n v="1224"/>
    <n v="9"/>
    <s v="car"/>
    <x v="0"/>
  </r>
  <r>
    <n v="42"/>
    <x v="3"/>
    <x v="0"/>
    <n v="2"/>
    <x v="0"/>
    <s v="quite rich"/>
    <s v="Unknown"/>
    <n v="522"/>
    <n v="12"/>
    <s v="radio/TV"/>
    <x v="0"/>
  </r>
  <r>
    <n v="23"/>
    <x v="1"/>
    <x v="1"/>
    <n v="2"/>
    <x v="0"/>
    <s v="little"/>
    <s v="little"/>
    <n v="1498"/>
    <n v="12"/>
    <s v="radio/TV"/>
    <x v="0"/>
  </r>
  <r>
    <n v="30"/>
    <x v="4"/>
    <x v="0"/>
    <n v="3"/>
    <x v="0"/>
    <s v="moderate"/>
    <s v="moderate"/>
    <n v="1919"/>
    <n v="30"/>
    <s v="radio/TV"/>
    <x v="0"/>
  </r>
  <r>
    <n v="28"/>
    <x v="4"/>
    <x v="1"/>
    <n v="1"/>
    <x v="0"/>
    <s v="little"/>
    <s v="rich"/>
    <n v="745"/>
    <n v="9"/>
    <s v="radio/TV"/>
    <x v="0"/>
  </r>
  <r>
    <n v="30"/>
    <x v="4"/>
    <x v="0"/>
    <n v="3"/>
    <x v="2"/>
    <s v="little"/>
    <s v="moderate"/>
    <n v="2063"/>
    <n v="6"/>
    <s v="radio/TV"/>
    <x v="0"/>
  </r>
  <r>
    <n v="42"/>
    <x v="3"/>
    <x v="0"/>
    <n v="2"/>
    <x v="1"/>
    <s v="little"/>
    <s v="moderate"/>
    <n v="6288"/>
    <n v="60"/>
    <s v="education"/>
    <x v="0"/>
  </r>
  <r>
    <n v="46"/>
    <x v="2"/>
    <x v="0"/>
    <n v="3"/>
    <x v="0"/>
    <s v="Unknown"/>
    <s v="Unknown"/>
    <n v="6842"/>
    <n v="24"/>
    <s v="car"/>
    <x v="0"/>
  </r>
  <r>
    <n v="45"/>
    <x v="3"/>
    <x v="0"/>
    <n v="3"/>
    <x v="0"/>
    <s v="Unknown"/>
    <s v="Unknown"/>
    <n v="3527"/>
    <n v="12"/>
    <s v="car"/>
    <x v="0"/>
  </r>
  <r>
    <n v="31"/>
    <x v="4"/>
    <x v="0"/>
    <n v="1"/>
    <x v="0"/>
    <s v="little"/>
    <s v="Unknown"/>
    <n v="1546"/>
    <n v="10"/>
    <s v="car"/>
    <x v="0"/>
  </r>
  <r>
    <n v="31"/>
    <x v="4"/>
    <x v="0"/>
    <n v="2"/>
    <x v="0"/>
    <s v="Unknown"/>
    <s v="Unknown"/>
    <n v="929"/>
    <n v="24"/>
    <s v="furniture/equipment"/>
    <x v="0"/>
  </r>
  <r>
    <n v="42"/>
    <x v="3"/>
    <x v="0"/>
    <n v="1"/>
    <x v="0"/>
    <s v="little"/>
    <s v="Unknown"/>
    <n v="1455"/>
    <n v="4"/>
    <s v="car"/>
    <x v="0"/>
  </r>
  <r>
    <n v="46"/>
    <x v="2"/>
    <x v="1"/>
    <n v="2"/>
    <x v="2"/>
    <s v="little"/>
    <s v="little"/>
    <n v="1845"/>
    <n v="15"/>
    <s v="furniture/equipment"/>
    <x v="0"/>
  </r>
  <r>
    <n v="30"/>
    <x v="4"/>
    <x v="1"/>
    <n v="2"/>
    <x v="0"/>
    <s v="quite rich"/>
    <s v="moderate"/>
    <n v="8358"/>
    <n v="48"/>
    <s v="car"/>
    <x v="0"/>
  </r>
  <r>
    <n v="30"/>
    <x v="4"/>
    <x v="0"/>
    <n v="2"/>
    <x v="1"/>
    <s v="quite rich"/>
    <s v="little"/>
    <n v="3349"/>
    <n v="24"/>
    <s v="furniture/equipment"/>
    <x v="0"/>
  </r>
  <r>
    <n v="38"/>
    <x v="3"/>
    <x v="0"/>
    <n v="3"/>
    <x v="0"/>
    <s v="Unknown"/>
    <s v="Unknown"/>
    <n v="2859"/>
    <n v="12"/>
    <s v="car"/>
    <x v="0"/>
  </r>
  <r>
    <n v="43"/>
    <x v="3"/>
    <x v="0"/>
    <n v="1"/>
    <x v="0"/>
    <s v="little"/>
    <s v="Unknown"/>
    <n v="1533"/>
    <n v="18"/>
    <s v="furniture/equipment"/>
    <x v="0"/>
  </r>
  <r>
    <n v="31"/>
    <x v="4"/>
    <x v="0"/>
    <n v="2"/>
    <x v="0"/>
    <s v="moderate"/>
    <s v="Unknown"/>
    <n v="3621"/>
    <n v="24"/>
    <s v="radio/TV"/>
    <x v="0"/>
  </r>
  <r>
    <n v="40"/>
    <x v="3"/>
    <x v="0"/>
    <n v="0"/>
    <x v="0"/>
    <s v="little"/>
    <s v="moderate"/>
    <n v="3590"/>
    <n v="18"/>
    <s v="business"/>
    <x v="0"/>
  </r>
  <r>
    <n v="24"/>
    <x v="1"/>
    <x v="0"/>
    <n v="2"/>
    <x v="0"/>
    <s v="little"/>
    <s v="little"/>
    <n v="2145"/>
    <n v="36"/>
    <s v="business"/>
    <x v="0"/>
  </r>
  <r>
    <n v="28"/>
    <x v="4"/>
    <x v="1"/>
    <n v="2"/>
    <x v="2"/>
    <s v="quite rich"/>
    <s v="moderate"/>
    <n v="4113"/>
    <n v="24"/>
    <s v="car"/>
    <x v="0"/>
  </r>
  <r>
    <n v="26"/>
    <x v="4"/>
    <x v="1"/>
    <n v="3"/>
    <x v="0"/>
    <s v="little"/>
    <s v="Unknown"/>
    <n v="10974"/>
    <n v="36"/>
    <s v="furniture/equipment"/>
    <x v="1"/>
  </r>
  <r>
    <n v="29"/>
    <x v="4"/>
    <x v="1"/>
    <n v="2"/>
    <x v="0"/>
    <s v="little"/>
    <s v="little"/>
    <n v="1893"/>
    <n v="12"/>
    <s v="car"/>
    <x v="0"/>
  </r>
  <r>
    <n v="57"/>
    <x v="2"/>
    <x v="1"/>
    <n v="3"/>
    <x v="2"/>
    <s v="rich"/>
    <s v="little"/>
    <n v="1231"/>
    <n v="24"/>
    <s v="radio/TV"/>
    <x v="0"/>
  </r>
  <r>
    <n v="49"/>
    <x v="2"/>
    <x v="0"/>
    <n v="1"/>
    <x v="0"/>
    <s v="Unknown"/>
    <s v="rich"/>
    <n v="3656"/>
    <n v="30"/>
    <s v="radio/TV"/>
    <x v="0"/>
  </r>
  <r>
    <n v="37"/>
    <x v="3"/>
    <x v="0"/>
    <n v="1"/>
    <x v="0"/>
    <s v="little"/>
    <s v="moderate"/>
    <n v="1154"/>
    <n v="9"/>
    <s v="radio/TV"/>
    <x v="0"/>
  </r>
  <r>
    <n v="45"/>
    <x v="3"/>
    <x v="0"/>
    <n v="1"/>
    <x v="0"/>
    <s v="little"/>
    <s v="little"/>
    <n v="4006"/>
    <n v="28"/>
    <s v="car"/>
    <x v="0"/>
  </r>
  <r>
    <n v="30"/>
    <x v="4"/>
    <x v="0"/>
    <n v="2"/>
    <x v="1"/>
    <s v="moderate"/>
    <s v="moderate"/>
    <n v="3069"/>
    <n v="24"/>
    <s v="furniture/equipment"/>
    <x v="0"/>
  </r>
  <r>
    <n v="30"/>
    <x v="4"/>
    <x v="0"/>
    <n v="2"/>
    <x v="2"/>
    <s v="little"/>
    <s v="Unknown"/>
    <n v="1740"/>
    <n v="6"/>
    <s v="radio/TV"/>
    <x v="0"/>
  </r>
  <r>
    <n v="47"/>
    <x v="2"/>
    <x v="0"/>
    <n v="2"/>
    <x v="0"/>
    <s v="little"/>
    <s v="moderate"/>
    <n v="2353"/>
    <n v="21"/>
    <s v="car"/>
    <x v="0"/>
  </r>
  <r>
    <n v="29"/>
    <x v="4"/>
    <x v="0"/>
    <n v="2"/>
    <x v="0"/>
    <s v="Unknown"/>
    <s v="Unknown"/>
    <n v="3556"/>
    <n v="15"/>
    <s v="car"/>
    <x v="0"/>
  </r>
  <r>
    <n v="35"/>
    <x v="4"/>
    <x v="0"/>
    <n v="2"/>
    <x v="0"/>
    <s v="quite rich"/>
    <s v="Unknown"/>
    <n v="2397"/>
    <n v="24"/>
    <s v="radio/TV"/>
    <x v="0"/>
  </r>
  <r>
    <n v="22"/>
    <x v="1"/>
    <x v="0"/>
    <n v="1"/>
    <x v="0"/>
    <s v="little"/>
    <s v="moderate"/>
    <n v="454"/>
    <n v="6"/>
    <s v="repairs"/>
    <x v="0"/>
  </r>
  <r>
    <n v="26"/>
    <x v="4"/>
    <x v="1"/>
    <n v="2"/>
    <x v="0"/>
    <s v="Unknown"/>
    <s v="moderate"/>
    <n v="1715"/>
    <n v="30"/>
    <s v="radio/TV"/>
    <x v="0"/>
  </r>
  <r>
    <n v="23"/>
    <x v="1"/>
    <x v="0"/>
    <n v="1"/>
    <x v="0"/>
    <s v="quite rich"/>
    <s v="moderate"/>
    <n v="2520"/>
    <n v="27"/>
    <s v="radio/TV"/>
    <x v="0"/>
  </r>
  <r>
    <n v="54"/>
    <x v="2"/>
    <x v="1"/>
    <n v="3"/>
    <x v="2"/>
    <s v="little"/>
    <s v="Unknown"/>
    <n v="3568"/>
    <n v="15"/>
    <s v="radio/TV"/>
    <x v="0"/>
  </r>
  <r>
    <n v="29"/>
    <x v="4"/>
    <x v="0"/>
    <n v="2"/>
    <x v="2"/>
    <s v="Unknown"/>
    <s v="Unknown"/>
    <n v="7166"/>
    <n v="42"/>
    <s v="radio/TV"/>
    <x v="0"/>
  </r>
  <r>
    <n v="40"/>
    <x v="3"/>
    <x v="0"/>
    <n v="1"/>
    <x v="0"/>
    <s v="little"/>
    <s v="little"/>
    <n v="3939"/>
    <n v="11"/>
    <s v="car"/>
    <x v="0"/>
  </r>
  <r>
    <n v="22"/>
    <x v="1"/>
    <x v="0"/>
    <n v="2"/>
    <x v="0"/>
    <s v="moderate"/>
    <s v="moderate"/>
    <n v="1514"/>
    <n v="15"/>
    <s v="repairs"/>
    <x v="0"/>
  </r>
  <r>
    <n v="43"/>
    <x v="3"/>
    <x v="0"/>
    <n v="1"/>
    <x v="0"/>
    <s v="little"/>
    <s v="Unknown"/>
    <n v="7393"/>
    <n v="24"/>
    <s v="car"/>
    <x v="0"/>
  </r>
  <r>
    <n v="29"/>
    <x v="4"/>
    <x v="1"/>
    <n v="0"/>
    <x v="2"/>
    <s v="little"/>
    <s v="little"/>
    <n v="1193"/>
    <n v="24"/>
    <s v="car"/>
    <x v="0"/>
  </r>
  <r>
    <n v="36"/>
    <x v="3"/>
    <x v="0"/>
    <n v="2"/>
    <x v="2"/>
    <s v="little"/>
    <s v="little"/>
    <n v="7297"/>
    <n v="60"/>
    <s v="business"/>
    <x v="0"/>
  </r>
  <r>
    <n v="33"/>
    <x v="4"/>
    <x v="1"/>
    <n v="2"/>
    <x v="0"/>
    <s v="little"/>
    <s v="Unknown"/>
    <n v="2831"/>
    <n v="30"/>
    <s v="radio/TV"/>
    <x v="0"/>
  </r>
  <r>
    <n v="57"/>
    <x v="2"/>
    <x v="1"/>
    <n v="1"/>
    <x v="0"/>
    <s v="quite rich"/>
    <s v="rich"/>
    <n v="1258"/>
    <n v="24"/>
    <s v="radio/TV"/>
    <x v="0"/>
  </r>
  <r>
    <n v="64"/>
    <x v="0"/>
    <x v="1"/>
    <n v="2"/>
    <x v="0"/>
    <s v="little"/>
    <s v="moderate"/>
    <n v="753"/>
    <n v="6"/>
    <s v="radio/TV"/>
    <x v="0"/>
  </r>
  <r>
    <n v="42"/>
    <x v="3"/>
    <x v="0"/>
    <n v="2"/>
    <x v="0"/>
    <s v="Unknown"/>
    <s v="moderate"/>
    <n v="2427"/>
    <n v="18"/>
    <s v="business"/>
    <x v="0"/>
  </r>
  <r>
    <n v="47"/>
    <x v="2"/>
    <x v="0"/>
    <n v="1"/>
    <x v="0"/>
    <s v="little"/>
    <s v="Unknown"/>
    <n v="2538"/>
    <n v="24"/>
    <s v="car"/>
    <x v="0"/>
  </r>
  <r>
    <n v="25"/>
    <x v="1"/>
    <x v="0"/>
    <n v="2"/>
    <x v="2"/>
    <s v="moderate"/>
    <s v="moderate"/>
    <n v="1264"/>
    <n v="15"/>
    <s v="car"/>
    <x v="0"/>
  </r>
  <r>
    <n v="49"/>
    <x v="2"/>
    <x v="0"/>
    <n v="2"/>
    <x v="0"/>
    <s v="little"/>
    <s v="moderate"/>
    <n v="8386"/>
    <n v="30"/>
    <s v="furniture/equipment"/>
    <x v="0"/>
  </r>
  <r>
    <n v="33"/>
    <x v="4"/>
    <x v="0"/>
    <n v="3"/>
    <x v="2"/>
    <s v="little"/>
    <s v="Unknown"/>
    <n v="4844"/>
    <n v="48"/>
    <s v="business"/>
    <x v="0"/>
  </r>
  <r>
    <n v="28"/>
    <x v="4"/>
    <x v="1"/>
    <n v="3"/>
    <x v="0"/>
    <s v="moderate"/>
    <s v="rich"/>
    <n v="2923"/>
    <n v="21"/>
    <s v="car"/>
    <x v="0"/>
  </r>
  <r>
    <n v="26"/>
    <x v="4"/>
    <x v="0"/>
    <n v="2"/>
    <x v="0"/>
    <s v="little"/>
    <s v="little"/>
    <n v="8229"/>
    <n v="36"/>
    <s v="car"/>
    <x v="0"/>
  </r>
  <r>
    <n v="30"/>
    <x v="4"/>
    <x v="0"/>
    <n v="1"/>
    <x v="0"/>
    <s v="little"/>
    <s v="Unknown"/>
    <n v="2028"/>
    <n v="24"/>
    <s v="furniture/equipment"/>
    <x v="0"/>
  </r>
  <r>
    <n v="25"/>
    <x v="1"/>
    <x v="1"/>
    <n v="2"/>
    <x v="2"/>
    <s v="little"/>
    <s v="little"/>
    <n v="1433"/>
    <n v="15"/>
    <s v="furniture/equipment"/>
    <x v="0"/>
  </r>
  <r>
    <n v="33"/>
    <x v="4"/>
    <x v="0"/>
    <n v="2"/>
    <x v="0"/>
    <s v="little"/>
    <s v="rich"/>
    <n v="6289"/>
    <n v="42"/>
    <s v="business"/>
    <x v="0"/>
  </r>
  <r>
    <n v="64"/>
    <x v="0"/>
    <x v="1"/>
    <n v="2"/>
    <x v="0"/>
    <s v="moderate"/>
    <s v="Unknown"/>
    <n v="1409"/>
    <n v="13"/>
    <s v="radio/TV"/>
    <x v="0"/>
  </r>
  <r>
    <n v="29"/>
    <x v="4"/>
    <x v="0"/>
    <n v="3"/>
    <x v="1"/>
    <s v="little"/>
    <s v="little"/>
    <n v="6579"/>
    <n v="24"/>
    <s v="car"/>
    <x v="0"/>
  </r>
  <r>
    <n v="48"/>
    <x v="2"/>
    <x v="0"/>
    <n v="1"/>
    <x v="0"/>
    <s v="little"/>
    <s v="moderate"/>
    <n v="1743"/>
    <n v="24"/>
    <s v="radio/TV"/>
    <x v="0"/>
  </r>
  <r>
    <n v="37"/>
    <x v="3"/>
    <x v="0"/>
    <n v="1"/>
    <x v="0"/>
    <s v="Unknown"/>
    <s v="Unknown"/>
    <n v="3565"/>
    <n v="12"/>
    <s v="education"/>
    <x v="0"/>
  </r>
  <r>
    <n v="34"/>
    <x v="4"/>
    <x v="0"/>
    <n v="1"/>
    <x v="0"/>
    <s v="moderate"/>
    <s v="Unknown"/>
    <n v="1569"/>
    <n v="15"/>
    <s v="radio/TV"/>
    <x v="0"/>
  </r>
  <r>
    <n v="23"/>
    <x v="1"/>
    <x v="0"/>
    <n v="1"/>
    <x v="2"/>
    <s v="Unknown"/>
    <s v="little"/>
    <n v="1936"/>
    <n v="18"/>
    <s v="radio/TV"/>
    <x v="0"/>
  </r>
  <r>
    <n v="30"/>
    <x v="4"/>
    <x v="0"/>
    <n v="3"/>
    <x v="0"/>
    <s v="little"/>
    <s v="little"/>
    <n v="3959"/>
    <n v="36"/>
    <s v="furniture/equipment"/>
    <x v="0"/>
  </r>
  <r>
    <n v="50"/>
    <x v="2"/>
    <x v="0"/>
    <n v="2"/>
    <x v="0"/>
    <s v="Unknown"/>
    <s v="Unknown"/>
    <n v="2390"/>
    <n v="12"/>
    <s v="car"/>
    <x v="0"/>
  </r>
  <r>
    <n v="31"/>
    <x v="4"/>
    <x v="1"/>
    <n v="1"/>
    <x v="0"/>
    <s v="little"/>
    <s v="Unknown"/>
    <n v="1736"/>
    <n v="12"/>
    <s v="furniture/equipment"/>
    <x v="0"/>
  </r>
  <r>
    <n v="40"/>
    <x v="3"/>
    <x v="0"/>
    <n v="3"/>
    <x v="0"/>
    <s v="little"/>
    <s v="little"/>
    <n v="3857"/>
    <n v="30"/>
    <s v="car"/>
    <x v="0"/>
  </r>
  <r>
    <n v="38"/>
    <x v="3"/>
    <x v="0"/>
    <n v="2"/>
    <x v="0"/>
    <s v="little"/>
    <s v="Unknown"/>
    <n v="804"/>
    <n v="12"/>
    <s v="radio/TV"/>
    <x v="0"/>
  </r>
  <r>
    <n v="23"/>
    <x v="1"/>
    <x v="0"/>
    <n v="2"/>
    <x v="1"/>
    <s v="little"/>
    <s v="little"/>
    <n v="1845"/>
    <n v="45"/>
    <s v="radio/TV"/>
    <x v="0"/>
  </r>
  <r>
    <n v="27"/>
    <x v="4"/>
    <x v="0"/>
    <n v="2"/>
    <x v="0"/>
    <s v="moderate"/>
    <s v="moderate"/>
    <n v="4576"/>
    <n v="45"/>
    <s v="car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A8DCF-B851-4729-A9C3-A7D78DDC327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B18:E23" firstHeaderRow="1" firstDataRow="2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redit amount" fld="7" subtotal="count" baseField="4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384A3-4FC4-4B8D-A154-B5392D6546C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9:E16" firstHeaderRow="1" firstDataRow="2" firstDataCol="1"/>
  <pivotFields count="11">
    <pivotField compact="0" outline="0" showAll="0"/>
    <pivotField axis="axisRow" compact="0" outline="0" subtotalTop="0" showAll="0">
      <items count="6">
        <item x="1"/>
        <item x="4"/>
        <item x="3"/>
        <item x="2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redit amount" fld="7" subtotal="count" baseField="1" baseItem="0" numFmtId="1"/>
  </dataFields>
  <formats count="1">
    <format dxfId="1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57A3D-A023-4D97-AE80-728169D42F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B3:E7" firstHeaderRow="1" firstDataRow="2" firstDataCol="1"/>
  <pivotFields count="11">
    <pivotField compact="0" outline="0" showAll="0"/>
    <pivotField compact="0" outline="0" subtotalTop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redit amount" fld="7" subtotal="count" baseField="2" baseItem="0"/>
  </dataFields>
  <formats count="2">
    <format dxfId="3">
      <pivotArea grandRow="1" outline="0" collapsedLevelsAreSubtotals="1" fieldPosition="0"/>
    </format>
    <format dxfId="2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0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0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B24BA2-1296-4240-AAA2-BF38E1DCBCB9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Age" tableColumnId="1"/>
      <queryTableField id="11" dataBound="0" tableColumnId="11"/>
      <queryTableField id="2" name="Sex" tableColumnId="2"/>
      <queryTableField id="3" name="Job" tableColumnId="3"/>
      <queryTableField id="4" name="Housing" tableColumnId="4"/>
      <queryTableField id="5" name="Saving accounts" tableColumnId="5"/>
      <queryTableField id="6" name="Checking account" tableColumnId="6"/>
      <queryTableField id="7" name="Credit amount" tableColumnId="7"/>
      <queryTableField id="8" name="Duration" tableColumnId="8"/>
      <queryTableField id="9" name="Purpose" tableColumnId="9"/>
      <queryTableField id="10" dataBound="0" tableColumnId="10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35906-923D-4199-90DC-07AD242EF3AD}" name="credit" displayName="credit" ref="A1:K1001" tableType="queryTable" totalsRowShown="0">
  <autoFilter ref="A1:K1001" xr:uid="{23F35906-923D-4199-90DC-07AD242EF3AD}"/>
  <tableColumns count="11">
    <tableColumn id="1" xr3:uid="{8C744A31-F638-42A2-A1C6-7246335AB682}" uniqueName="1" name="Age" queryTableFieldId="1"/>
    <tableColumn id="11" xr3:uid="{141920BF-B8C2-4995-8B21-DD537D4ADA36}" uniqueName="11" name="Age Range" queryTableFieldId="11" dataDxfId="10">
      <calculatedColumnFormula array="1">_xlfn.IFS(credit[[#This Row],[Age]]&lt;=25,"18-25",credit[[#This Row],[Age]]&lt;=35,"26-35",credit[[#This Row],[Age]]&lt;=45,"36-45",credit[[#This Row],[Age]]&lt;=60,"46-60",TRUE,"60+")</calculatedColumnFormula>
    </tableColumn>
    <tableColumn id="2" xr3:uid="{2271EF2A-7318-4582-A5D4-99DE4C87A0B7}" uniqueName="2" name="Sex" queryTableFieldId="2" dataDxfId="9"/>
    <tableColumn id="3" xr3:uid="{D13F0026-DBD1-445E-B635-6D7CAB336F0A}" uniqueName="3" name="Job" queryTableFieldId="3"/>
    <tableColumn id="4" xr3:uid="{16F45B72-B253-4211-9DCB-68B11A4123DC}" uniqueName="4" name="Housing" queryTableFieldId="4" dataDxfId="8"/>
    <tableColumn id="5" xr3:uid="{F1C441F6-C223-4043-BFA1-88308223162B}" uniqueName="5" name="Saving accounts" queryTableFieldId="5" dataDxfId="7"/>
    <tableColumn id="6" xr3:uid="{1156EF13-FD7C-40B3-AEA7-86A7CA796D5D}" uniqueName="6" name="Checking account" queryTableFieldId="6" dataDxfId="6"/>
    <tableColumn id="7" xr3:uid="{7AB920DC-1CB7-40AD-998E-AF54F37C527B}" uniqueName="7" name="Credit amount" queryTableFieldId="7"/>
    <tableColumn id="8" xr3:uid="{1B5EA7FF-48EA-496B-AA10-F9F684CCB11A}" uniqueName="8" name="Duration" queryTableFieldId="8"/>
    <tableColumn id="9" xr3:uid="{01AD3F4D-623D-44C0-B441-AE28EFF7F918}" uniqueName="9" name="Purpose" queryTableFieldId="9" dataDxfId="5"/>
    <tableColumn id="10" xr3:uid="{BD748F1D-FC73-40E2-B161-CC2F0D3A274C}" uniqueName="10" name="Risk" queryTableFieldId="10" dataDxfId="4">
      <calculatedColumnFormula>IF(AND(credit[[#This Row],[Credit amount]]&gt;9000,credit[[#This Row],[Saving accounts]]="little"),"High","Low")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F0F8-4477-44BD-B0A1-6702486199D0}">
  <dimension ref="A1:M1001"/>
  <sheetViews>
    <sheetView topLeftCell="A2" zoomScaleNormal="100" workbookViewId="0">
      <selection activeCell="F14" sqref="F14"/>
    </sheetView>
  </sheetViews>
  <sheetFormatPr defaultRowHeight="15" x14ac:dyDescent="0.25"/>
  <cols>
    <col min="1" max="1" width="6.5703125" bestFit="1" customWidth="1"/>
    <col min="2" max="2" width="12.5703125" bestFit="1" customWidth="1"/>
    <col min="3" max="3" width="7" bestFit="1" customWidth="1"/>
    <col min="4" max="4" width="6.28515625" bestFit="1" customWidth="1"/>
    <col min="5" max="5" width="10.7109375" bestFit="1" customWidth="1"/>
    <col min="6" max="6" width="17.85546875" bestFit="1" customWidth="1"/>
    <col min="7" max="7" width="19.5703125" bestFit="1" customWidth="1"/>
    <col min="8" max="8" width="16.42578125" bestFit="1" customWidth="1"/>
    <col min="9" max="9" width="11.140625" bestFit="1" customWidth="1"/>
    <col min="10" max="10" width="19.7109375" bestFit="1" customWidth="1"/>
  </cols>
  <sheetData>
    <row r="1" spans="1:13" x14ac:dyDescent="0.25">
      <c r="A1" t="s">
        <v>0</v>
      </c>
      <c r="B1" t="s">
        <v>43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27</v>
      </c>
    </row>
    <row r="2" spans="1:13" x14ac:dyDescent="0.25">
      <c r="A2">
        <v>67</v>
      </c>
      <c r="B2" s="13" t="str" cm="1">
        <f t="array" ref="B2">_xlfn.IFS(credit[[#This Row],[Age]]&lt;=25,"18-25",credit[[#This Row],[Age]]&lt;=35,"26-35",credit[[#This Row],[Age]]&lt;=45,"36-45",credit[[#This Row],[Age]]&lt;=60,"46-60",TRUE,"60+")</f>
        <v>60+</v>
      </c>
      <c r="C2" t="s">
        <v>9</v>
      </c>
      <c r="D2">
        <v>2</v>
      </c>
      <c r="E2" t="s">
        <v>10</v>
      </c>
      <c r="F2" t="s">
        <v>11</v>
      </c>
      <c r="G2" t="s">
        <v>12</v>
      </c>
      <c r="H2">
        <v>1169</v>
      </c>
      <c r="I2">
        <v>6</v>
      </c>
      <c r="J2" t="s">
        <v>13</v>
      </c>
      <c r="K2" t="str">
        <f>IF(AND(credit[[#This Row],[Credit amount]]&gt;9000,credit[[#This Row],[Saving accounts]]="little"),"High","Low")</f>
        <v>Low</v>
      </c>
    </row>
    <row r="3" spans="1:13" x14ac:dyDescent="0.25">
      <c r="A3">
        <v>22</v>
      </c>
      <c r="B3" s="13" t="str" cm="1">
        <f t="array" ref="B3">_xlfn.IFS(credit[[#This Row],[Age]]&lt;=25,"18-25",credit[[#This Row],[Age]]&lt;=35,"26-35",credit[[#This Row],[Age]]&lt;=45,"36-45",credit[[#This Row],[Age]]&lt;=60,"46-60",TRUE,"60+")</f>
        <v>18-25</v>
      </c>
      <c r="C3" t="s">
        <v>14</v>
      </c>
      <c r="D3">
        <v>2</v>
      </c>
      <c r="E3" t="s">
        <v>10</v>
      </c>
      <c r="F3" t="s">
        <v>12</v>
      </c>
      <c r="G3" t="s">
        <v>15</v>
      </c>
      <c r="H3">
        <v>5951</v>
      </c>
      <c r="I3">
        <v>48</v>
      </c>
      <c r="J3" t="s">
        <v>13</v>
      </c>
      <c r="K3" t="str">
        <f>IF(AND(credit[[#This Row],[Credit amount]]&gt;9000,credit[[#This Row],[Saving accounts]]="little"),"High","Low")</f>
        <v>Low</v>
      </c>
    </row>
    <row r="4" spans="1:13" x14ac:dyDescent="0.25">
      <c r="A4">
        <v>49</v>
      </c>
      <c r="B4" s="13" t="str" cm="1">
        <f t="array" ref="B4">_xlfn.IFS(credit[[#This Row],[Age]]&lt;=25,"18-25",credit[[#This Row],[Age]]&lt;=35,"26-35",credit[[#This Row],[Age]]&lt;=45,"36-45",credit[[#This Row],[Age]]&lt;=60,"46-60",TRUE,"60+")</f>
        <v>46-60</v>
      </c>
      <c r="C4" t="s">
        <v>9</v>
      </c>
      <c r="D4">
        <v>1</v>
      </c>
      <c r="E4" t="s">
        <v>10</v>
      </c>
      <c r="F4" t="s">
        <v>12</v>
      </c>
      <c r="G4" t="s">
        <v>11</v>
      </c>
      <c r="H4">
        <v>2096</v>
      </c>
      <c r="I4">
        <v>12</v>
      </c>
      <c r="J4" t="s">
        <v>16</v>
      </c>
      <c r="K4" t="str">
        <f>IF(AND(credit[[#This Row],[Credit amount]]&gt;9000,credit[[#This Row],[Saving accounts]]="little"),"High","Low")</f>
        <v>Low</v>
      </c>
    </row>
    <row r="5" spans="1:13" x14ac:dyDescent="0.25">
      <c r="A5">
        <v>45</v>
      </c>
      <c r="B5" s="13" t="str" cm="1">
        <f t="array" ref="B5">_xlfn.IFS(credit[[#This Row],[Age]]&lt;=25,"18-25",credit[[#This Row],[Age]]&lt;=35,"26-35",credit[[#This Row],[Age]]&lt;=45,"36-45",credit[[#This Row],[Age]]&lt;=60,"46-60",TRUE,"60+")</f>
        <v>36-45</v>
      </c>
      <c r="C5" t="s">
        <v>9</v>
      </c>
      <c r="D5">
        <v>2</v>
      </c>
      <c r="E5" t="s">
        <v>17</v>
      </c>
      <c r="F5" t="s">
        <v>12</v>
      </c>
      <c r="G5" t="s">
        <v>12</v>
      </c>
      <c r="H5">
        <v>7882</v>
      </c>
      <c r="I5">
        <v>42</v>
      </c>
      <c r="J5" t="s">
        <v>18</v>
      </c>
      <c r="K5" t="str">
        <f>IF(AND(credit[[#This Row],[Credit amount]]&gt;9000,credit[[#This Row],[Saving accounts]]="little"),"High","Low")</f>
        <v>Low</v>
      </c>
    </row>
    <row r="6" spans="1:13" x14ac:dyDescent="0.25">
      <c r="A6">
        <v>53</v>
      </c>
      <c r="B6" s="13" t="str" cm="1">
        <f t="array" ref="B6">_xlfn.IFS(credit[[#This Row],[Age]]&lt;=25,"18-25",credit[[#This Row],[Age]]&lt;=35,"26-35",credit[[#This Row],[Age]]&lt;=45,"36-45",credit[[#This Row],[Age]]&lt;=60,"46-60",TRUE,"60+")</f>
        <v>46-60</v>
      </c>
      <c r="C6" t="s">
        <v>9</v>
      </c>
      <c r="D6">
        <v>2</v>
      </c>
      <c r="E6" t="s">
        <v>17</v>
      </c>
      <c r="F6" t="s">
        <v>12</v>
      </c>
      <c r="G6" t="s">
        <v>12</v>
      </c>
      <c r="H6">
        <v>4870</v>
      </c>
      <c r="I6">
        <v>24</v>
      </c>
      <c r="J6" t="s">
        <v>19</v>
      </c>
      <c r="K6" t="str">
        <f>IF(AND(credit[[#This Row],[Credit amount]]&gt;9000,credit[[#This Row],[Saving accounts]]="little"),"High","Low")</f>
        <v>Low</v>
      </c>
    </row>
    <row r="7" spans="1:13" x14ac:dyDescent="0.25">
      <c r="A7">
        <v>35</v>
      </c>
      <c r="B7" s="13" t="str" cm="1">
        <f t="array" ref="B7">_xlfn.IFS(credit[[#This Row],[Age]]&lt;=25,"18-25",credit[[#This Row],[Age]]&lt;=35,"26-35",credit[[#This Row],[Age]]&lt;=45,"36-45",credit[[#This Row],[Age]]&lt;=60,"46-60",TRUE,"60+")</f>
        <v>26-35</v>
      </c>
      <c r="C7" t="s">
        <v>9</v>
      </c>
      <c r="D7">
        <v>1</v>
      </c>
      <c r="E7" t="s">
        <v>17</v>
      </c>
      <c r="F7" t="s">
        <v>11</v>
      </c>
      <c r="G7" t="s">
        <v>11</v>
      </c>
      <c r="H7">
        <v>9055</v>
      </c>
      <c r="I7">
        <v>36</v>
      </c>
      <c r="J7" t="s">
        <v>16</v>
      </c>
      <c r="K7" t="str">
        <f>IF(AND(credit[[#This Row],[Credit amount]]&gt;9000,credit[[#This Row],[Saving accounts]]="little"),"High","Low")</f>
        <v>Low</v>
      </c>
    </row>
    <row r="8" spans="1:13" x14ac:dyDescent="0.25">
      <c r="A8">
        <v>53</v>
      </c>
      <c r="B8" s="13" t="str" cm="1">
        <f t="array" ref="B8">_xlfn.IFS(credit[[#This Row],[Age]]&lt;=25,"18-25",credit[[#This Row],[Age]]&lt;=35,"26-35",credit[[#This Row],[Age]]&lt;=45,"36-45",credit[[#This Row],[Age]]&lt;=60,"46-60",TRUE,"60+")</f>
        <v>46-60</v>
      </c>
      <c r="C8" t="s">
        <v>9</v>
      </c>
      <c r="D8">
        <v>2</v>
      </c>
      <c r="E8" t="s">
        <v>10</v>
      </c>
      <c r="F8" t="s">
        <v>20</v>
      </c>
      <c r="G8" t="s">
        <v>11</v>
      </c>
      <c r="H8">
        <v>2835</v>
      </c>
      <c r="I8">
        <v>24</v>
      </c>
      <c r="J8" t="s">
        <v>18</v>
      </c>
      <c r="K8" t="str">
        <f>IF(AND(credit[[#This Row],[Credit amount]]&gt;9000,credit[[#This Row],[Saving accounts]]="little"),"High","Low")</f>
        <v>Low</v>
      </c>
    </row>
    <row r="9" spans="1:13" x14ac:dyDescent="0.25">
      <c r="A9">
        <v>35</v>
      </c>
      <c r="B9" s="13" t="str" cm="1">
        <f t="array" ref="B9">_xlfn.IFS(credit[[#This Row],[Age]]&lt;=25,"18-25",credit[[#This Row],[Age]]&lt;=35,"26-35",credit[[#This Row],[Age]]&lt;=45,"36-45",credit[[#This Row],[Age]]&lt;=60,"46-60",TRUE,"60+")</f>
        <v>26-35</v>
      </c>
      <c r="C9" t="s">
        <v>9</v>
      </c>
      <c r="D9">
        <v>3</v>
      </c>
      <c r="E9" t="s">
        <v>21</v>
      </c>
      <c r="F9" t="s">
        <v>12</v>
      </c>
      <c r="G9" t="s">
        <v>15</v>
      </c>
      <c r="H9">
        <v>6948</v>
      </c>
      <c r="I9">
        <v>36</v>
      </c>
      <c r="J9" t="s">
        <v>19</v>
      </c>
      <c r="K9" t="str">
        <f>IF(AND(credit[[#This Row],[Credit amount]]&gt;9000,credit[[#This Row],[Saving accounts]]="little"),"High","Low")</f>
        <v>Low</v>
      </c>
    </row>
    <row r="10" spans="1:13" x14ac:dyDescent="0.25">
      <c r="A10">
        <v>61</v>
      </c>
      <c r="B10" s="13" t="str" cm="1">
        <f t="array" ref="B10">_xlfn.IFS(credit[[#This Row],[Age]]&lt;=25,"18-25",credit[[#This Row],[Age]]&lt;=35,"26-35",credit[[#This Row],[Age]]&lt;=45,"36-45",credit[[#This Row],[Age]]&lt;=60,"46-60",TRUE,"60+")</f>
        <v>60+</v>
      </c>
      <c r="C10" t="s">
        <v>9</v>
      </c>
      <c r="D10">
        <v>1</v>
      </c>
      <c r="E10" t="s">
        <v>10</v>
      </c>
      <c r="F10" t="s">
        <v>22</v>
      </c>
      <c r="G10" t="s">
        <v>11</v>
      </c>
      <c r="H10">
        <v>3059</v>
      </c>
      <c r="I10">
        <v>12</v>
      </c>
      <c r="J10" t="s">
        <v>13</v>
      </c>
      <c r="K10" t="str">
        <f>IF(AND(credit[[#This Row],[Credit amount]]&gt;9000,credit[[#This Row],[Saving accounts]]="little"),"High","Low")</f>
        <v>Low</v>
      </c>
    </row>
    <row r="11" spans="1:13" x14ac:dyDescent="0.25">
      <c r="A11">
        <v>28</v>
      </c>
      <c r="B11" s="13" t="str" cm="1">
        <f t="array" ref="B11">_xlfn.IFS(credit[[#This Row],[Age]]&lt;=25,"18-25",credit[[#This Row],[Age]]&lt;=35,"26-35",credit[[#This Row],[Age]]&lt;=45,"36-45",credit[[#This Row],[Age]]&lt;=60,"46-60",TRUE,"60+")</f>
        <v>26-35</v>
      </c>
      <c r="C11" t="s">
        <v>9</v>
      </c>
      <c r="D11">
        <v>3</v>
      </c>
      <c r="E11" t="s">
        <v>10</v>
      </c>
      <c r="F11" t="s">
        <v>12</v>
      </c>
      <c r="G11" t="s">
        <v>15</v>
      </c>
      <c r="H11">
        <v>5234</v>
      </c>
      <c r="I11">
        <v>30</v>
      </c>
      <c r="J11" t="s">
        <v>19</v>
      </c>
      <c r="K11" t="str">
        <f>IF(AND(credit[[#This Row],[Credit amount]]&gt;9000,credit[[#This Row],[Saving accounts]]="little"),"High","Low")</f>
        <v>Low</v>
      </c>
    </row>
    <row r="12" spans="1:13" x14ac:dyDescent="0.25">
      <c r="A12">
        <v>25</v>
      </c>
      <c r="B12" s="13" t="str" cm="1">
        <f t="array" ref="B12">_xlfn.IFS(credit[[#This Row],[Age]]&lt;=25,"18-25",credit[[#This Row],[Age]]&lt;=35,"26-35",credit[[#This Row],[Age]]&lt;=45,"36-45",credit[[#This Row],[Age]]&lt;=60,"46-60",TRUE,"60+")</f>
        <v>18-25</v>
      </c>
      <c r="C12" t="s">
        <v>14</v>
      </c>
      <c r="D12">
        <v>2</v>
      </c>
      <c r="E12" t="s">
        <v>21</v>
      </c>
      <c r="F12" t="s">
        <v>12</v>
      </c>
      <c r="G12" t="s">
        <v>15</v>
      </c>
      <c r="H12">
        <v>1295</v>
      </c>
      <c r="I12">
        <v>12</v>
      </c>
      <c r="J12" t="s">
        <v>19</v>
      </c>
      <c r="K12" t="str">
        <f>IF(AND(credit[[#This Row],[Credit amount]]&gt;9000,credit[[#This Row],[Saving accounts]]="little"),"High","Low")</f>
        <v>Low</v>
      </c>
      <c r="M12" t="e" vm="1">
        <f>_xleta.IFS</f>
        <v>#VALUE!</v>
      </c>
    </row>
    <row r="13" spans="1:13" x14ac:dyDescent="0.25">
      <c r="A13">
        <v>24</v>
      </c>
      <c r="B13" s="13" t="str" cm="1">
        <f t="array" ref="B13">_xlfn.IFS(credit[[#This Row],[Age]]&lt;=25,"18-25",credit[[#This Row],[Age]]&lt;=35,"26-35",credit[[#This Row],[Age]]&lt;=45,"36-45",credit[[#This Row],[Age]]&lt;=60,"46-60",TRUE,"60+")</f>
        <v>18-25</v>
      </c>
      <c r="C13" t="s">
        <v>14</v>
      </c>
      <c r="D13">
        <v>2</v>
      </c>
      <c r="E13" t="s">
        <v>21</v>
      </c>
      <c r="F13" t="s">
        <v>12</v>
      </c>
      <c r="G13" t="s">
        <v>12</v>
      </c>
      <c r="H13">
        <v>4308</v>
      </c>
      <c r="I13">
        <v>48</v>
      </c>
      <c r="J13" t="s">
        <v>23</v>
      </c>
      <c r="K13" t="str">
        <f>IF(AND(credit[[#This Row],[Credit amount]]&gt;9000,credit[[#This Row],[Saving accounts]]="little"),"High","Low")</f>
        <v>Low</v>
      </c>
    </row>
    <row r="14" spans="1:13" x14ac:dyDescent="0.25">
      <c r="A14">
        <v>22</v>
      </c>
      <c r="B14" s="13" t="str" cm="1">
        <f t="array" ref="B14">_xlfn.IFS(credit[[#This Row],[Age]]&lt;=25,"18-25",credit[[#This Row],[Age]]&lt;=35,"26-35",credit[[#This Row],[Age]]&lt;=45,"36-45",credit[[#This Row],[Age]]&lt;=60,"46-60",TRUE,"60+")</f>
        <v>18-25</v>
      </c>
      <c r="C14" t="s">
        <v>14</v>
      </c>
      <c r="D14">
        <v>2</v>
      </c>
      <c r="E14" t="s">
        <v>10</v>
      </c>
      <c r="F14" t="s">
        <v>12</v>
      </c>
      <c r="G14" t="s">
        <v>15</v>
      </c>
      <c r="H14">
        <v>1567</v>
      </c>
      <c r="I14">
        <v>12</v>
      </c>
      <c r="J14" t="s">
        <v>13</v>
      </c>
      <c r="K14" t="str">
        <f>IF(AND(credit[[#This Row],[Credit amount]]&gt;9000,credit[[#This Row],[Saving accounts]]="little"),"High","Low")</f>
        <v>Low</v>
      </c>
    </row>
    <row r="15" spans="1:13" x14ac:dyDescent="0.25">
      <c r="A15">
        <v>60</v>
      </c>
      <c r="B15" s="13" t="str" cm="1">
        <f t="array" ref="B15">_xlfn.IFS(credit[[#This Row],[Age]]&lt;=25,"18-25",credit[[#This Row],[Age]]&lt;=35,"26-35",credit[[#This Row],[Age]]&lt;=45,"36-45",credit[[#This Row],[Age]]&lt;=60,"46-60",TRUE,"60+")</f>
        <v>46-60</v>
      </c>
      <c r="C15" t="s">
        <v>9</v>
      </c>
      <c r="D15">
        <v>1</v>
      </c>
      <c r="E15" t="s">
        <v>10</v>
      </c>
      <c r="F15" t="s">
        <v>12</v>
      </c>
      <c r="G15" t="s">
        <v>12</v>
      </c>
      <c r="H15">
        <v>1199</v>
      </c>
      <c r="I15">
        <v>24</v>
      </c>
      <c r="J15" t="s">
        <v>19</v>
      </c>
      <c r="K15" t="str">
        <f>IF(AND(credit[[#This Row],[Credit amount]]&gt;9000,credit[[#This Row],[Saving accounts]]="little"),"High","Low")</f>
        <v>Low</v>
      </c>
    </row>
    <row r="16" spans="1:13" x14ac:dyDescent="0.25">
      <c r="A16">
        <v>28</v>
      </c>
      <c r="B16" s="13" t="str" cm="1">
        <f t="array" ref="B16">_xlfn.IFS(credit[[#This Row],[Age]]&lt;=25,"18-25",credit[[#This Row],[Age]]&lt;=35,"26-35",credit[[#This Row],[Age]]&lt;=45,"36-45",credit[[#This Row],[Age]]&lt;=60,"46-60",TRUE,"60+")</f>
        <v>26-35</v>
      </c>
      <c r="C16" t="s">
        <v>14</v>
      </c>
      <c r="D16">
        <v>2</v>
      </c>
      <c r="E16" t="s">
        <v>21</v>
      </c>
      <c r="F16" t="s">
        <v>12</v>
      </c>
      <c r="G16" t="s">
        <v>12</v>
      </c>
      <c r="H16">
        <v>1403</v>
      </c>
      <c r="I16">
        <v>15</v>
      </c>
      <c r="J16" t="s">
        <v>19</v>
      </c>
      <c r="K16" t="str">
        <f>IF(AND(credit[[#This Row],[Credit amount]]&gt;9000,credit[[#This Row],[Saving accounts]]="little"),"High","Low")</f>
        <v>Low</v>
      </c>
    </row>
    <row r="17" spans="1:11" x14ac:dyDescent="0.25">
      <c r="A17">
        <v>32</v>
      </c>
      <c r="B17" s="13" t="str" cm="1">
        <f t="array" ref="B17">_xlfn.IFS(credit[[#This Row],[Age]]&lt;=25,"18-25",credit[[#This Row],[Age]]&lt;=35,"26-35",credit[[#This Row],[Age]]&lt;=45,"36-45",credit[[#This Row],[Age]]&lt;=60,"46-60",TRUE,"60+")</f>
        <v>26-35</v>
      </c>
      <c r="C17" t="s">
        <v>14</v>
      </c>
      <c r="D17">
        <v>1</v>
      </c>
      <c r="E17" t="s">
        <v>10</v>
      </c>
      <c r="F17" t="s">
        <v>15</v>
      </c>
      <c r="G17" t="s">
        <v>12</v>
      </c>
      <c r="H17">
        <v>1282</v>
      </c>
      <c r="I17">
        <v>24</v>
      </c>
      <c r="J17" t="s">
        <v>13</v>
      </c>
      <c r="K17" t="str">
        <f>IF(AND(credit[[#This Row],[Credit amount]]&gt;9000,credit[[#This Row],[Saving accounts]]="little"),"High","Low")</f>
        <v>Low</v>
      </c>
    </row>
    <row r="18" spans="1:11" x14ac:dyDescent="0.25">
      <c r="A18">
        <v>53</v>
      </c>
      <c r="B18" s="13" t="str" cm="1">
        <f t="array" ref="B18">_xlfn.IFS(credit[[#This Row],[Age]]&lt;=25,"18-25",credit[[#This Row],[Age]]&lt;=35,"26-35",credit[[#This Row],[Age]]&lt;=45,"36-45",credit[[#This Row],[Age]]&lt;=60,"46-60",TRUE,"60+")</f>
        <v>46-60</v>
      </c>
      <c r="C18" t="s">
        <v>9</v>
      </c>
      <c r="D18">
        <v>2</v>
      </c>
      <c r="E18" t="s">
        <v>10</v>
      </c>
      <c r="F18" t="s">
        <v>11</v>
      </c>
      <c r="G18" t="s">
        <v>11</v>
      </c>
      <c r="H18">
        <v>2424</v>
      </c>
      <c r="I18">
        <v>24</v>
      </c>
      <c r="J18" t="s">
        <v>13</v>
      </c>
      <c r="K18" t="str">
        <f>IF(AND(credit[[#This Row],[Credit amount]]&gt;9000,credit[[#This Row],[Saving accounts]]="little"),"High","Low")</f>
        <v>Low</v>
      </c>
    </row>
    <row r="19" spans="1:11" x14ac:dyDescent="0.25">
      <c r="A19">
        <v>25</v>
      </c>
      <c r="B19" s="13" t="str" cm="1">
        <f t="array" ref="B19">_xlfn.IFS(credit[[#This Row],[Age]]&lt;=25,"18-25",credit[[#This Row],[Age]]&lt;=35,"26-35",credit[[#This Row],[Age]]&lt;=45,"36-45",credit[[#This Row],[Age]]&lt;=60,"46-60",TRUE,"60+")</f>
        <v>18-25</v>
      </c>
      <c r="C19" t="s">
        <v>9</v>
      </c>
      <c r="D19">
        <v>2</v>
      </c>
      <c r="E19" t="s">
        <v>10</v>
      </c>
      <c r="F19" t="s">
        <v>11</v>
      </c>
      <c r="G19" t="s">
        <v>12</v>
      </c>
      <c r="H19">
        <v>8072</v>
      </c>
      <c r="I19">
        <v>30</v>
      </c>
      <c r="J19" t="s">
        <v>23</v>
      </c>
      <c r="K19" t="str">
        <f>IF(AND(credit[[#This Row],[Credit amount]]&gt;9000,credit[[#This Row],[Saving accounts]]="little"),"High","Low")</f>
        <v>Low</v>
      </c>
    </row>
    <row r="20" spans="1:11" x14ac:dyDescent="0.25">
      <c r="A20">
        <v>44</v>
      </c>
      <c r="B20" s="13" t="str" cm="1">
        <f t="array" ref="B20">_xlfn.IFS(credit[[#This Row],[Age]]&lt;=25,"18-25",credit[[#This Row],[Age]]&lt;=35,"26-35",credit[[#This Row],[Age]]&lt;=45,"36-45",credit[[#This Row],[Age]]&lt;=60,"46-60",TRUE,"60+")</f>
        <v>36-45</v>
      </c>
      <c r="C20" t="s">
        <v>14</v>
      </c>
      <c r="D20">
        <v>3</v>
      </c>
      <c r="E20" t="s">
        <v>17</v>
      </c>
      <c r="F20" t="s">
        <v>12</v>
      </c>
      <c r="G20" t="s">
        <v>15</v>
      </c>
      <c r="H20">
        <v>12579</v>
      </c>
      <c r="I20">
        <v>24</v>
      </c>
      <c r="J20" t="s">
        <v>19</v>
      </c>
      <c r="K20" t="str">
        <f>IF(AND(credit[[#This Row],[Credit amount]]&gt;9000,credit[[#This Row],[Saving accounts]]="little"),"High","Low")</f>
        <v>High</v>
      </c>
    </row>
    <row r="21" spans="1:11" x14ac:dyDescent="0.25">
      <c r="A21">
        <v>31</v>
      </c>
      <c r="B21" s="13" t="str" cm="1">
        <f t="array" ref="B21">_xlfn.IFS(credit[[#This Row],[Age]]&lt;=25,"18-25",credit[[#This Row],[Age]]&lt;=35,"26-35",credit[[#This Row],[Age]]&lt;=45,"36-45",credit[[#This Row],[Age]]&lt;=60,"46-60",TRUE,"60+")</f>
        <v>26-35</v>
      </c>
      <c r="C21" t="s">
        <v>9</v>
      </c>
      <c r="D21">
        <v>2</v>
      </c>
      <c r="E21" t="s">
        <v>10</v>
      </c>
      <c r="F21" t="s">
        <v>20</v>
      </c>
      <c r="G21" t="s">
        <v>11</v>
      </c>
      <c r="H21">
        <v>3430</v>
      </c>
      <c r="I21">
        <v>24</v>
      </c>
      <c r="J21" t="s">
        <v>13</v>
      </c>
      <c r="K21" t="str">
        <f>IF(AND(credit[[#This Row],[Credit amount]]&gt;9000,credit[[#This Row],[Saving accounts]]="little"),"High","Low")</f>
        <v>Low</v>
      </c>
    </row>
    <row r="22" spans="1:11" x14ac:dyDescent="0.25">
      <c r="A22">
        <v>48</v>
      </c>
      <c r="B22" s="13" t="str" cm="1">
        <f t="array" ref="B22">_xlfn.IFS(credit[[#This Row],[Age]]&lt;=25,"18-25",credit[[#This Row],[Age]]&lt;=35,"26-35",credit[[#This Row],[Age]]&lt;=45,"36-45",credit[[#This Row],[Age]]&lt;=60,"46-60",TRUE,"60+")</f>
        <v>46-60</v>
      </c>
      <c r="C22" t="s">
        <v>9</v>
      </c>
      <c r="D22">
        <v>2</v>
      </c>
      <c r="E22" t="s">
        <v>10</v>
      </c>
      <c r="F22" t="s">
        <v>12</v>
      </c>
      <c r="G22" t="s">
        <v>11</v>
      </c>
      <c r="H22">
        <v>2134</v>
      </c>
      <c r="I22">
        <v>9</v>
      </c>
      <c r="J22" t="s">
        <v>19</v>
      </c>
      <c r="K22" t="str">
        <f>IF(AND(credit[[#This Row],[Credit amount]]&gt;9000,credit[[#This Row],[Saving accounts]]="little"),"High","Low")</f>
        <v>Low</v>
      </c>
    </row>
    <row r="23" spans="1:11" x14ac:dyDescent="0.25">
      <c r="A23">
        <v>44</v>
      </c>
      <c r="B23" s="13" t="str" cm="1">
        <f t="array" ref="B23">_xlfn.IFS(credit[[#This Row],[Age]]&lt;=25,"18-25",credit[[#This Row],[Age]]&lt;=35,"26-35",credit[[#This Row],[Age]]&lt;=45,"36-45",credit[[#This Row],[Age]]&lt;=60,"46-60",TRUE,"60+")</f>
        <v>36-45</v>
      </c>
      <c r="C23" t="s">
        <v>9</v>
      </c>
      <c r="D23">
        <v>2</v>
      </c>
      <c r="E23" t="s">
        <v>21</v>
      </c>
      <c r="F23" t="s">
        <v>20</v>
      </c>
      <c r="G23" t="s">
        <v>12</v>
      </c>
      <c r="H23">
        <v>2647</v>
      </c>
      <c r="I23">
        <v>6</v>
      </c>
      <c r="J23" t="s">
        <v>13</v>
      </c>
      <c r="K23" t="str">
        <f>IF(AND(credit[[#This Row],[Credit amount]]&gt;9000,credit[[#This Row],[Saving accounts]]="little"),"High","Low")</f>
        <v>Low</v>
      </c>
    </row>
    <row r="24" spans="1:11" x14ac:dyDescent="0.25">
      <c r="A24">
        <v>48</v>
      </c>
      <c r="B24" s="13" t="str" cm="1">
        <f t="array" ref="B24">_xlfn.IFS(credit[[#This Row],[Age]]&lt;=25,"18-25",credit[[#This Row],[Age]]&lt;=35,"26-35",credit[[#This Row],[Age]]&lt;=45,"36-45",credit[[#This Row],[Age]]&lt;=60,"46-60",TRUE,"60+")</f>
        <v>46-60</v>
      </c>
      <c r="C24" t="s">
        <v>9</v>
      </c>
      <c r="D24">
        <v>1</v>
      </c>
      <c r="E24" t="s">
        <v>21</v>
      </c>
      <c r="F24" t="s">
        <v>12</v>
      </c>
      <c r="G24" t="s">
        <v>12</v>
      </c>
      <c r="H24">
        <v>2241</v>
      </c>
      <c r="I24">
        <v>10</v>
      </c>
      <c r="J24" t="s">
        <v>19</v>
      </c>
      <c r="K24" t="str">
        <f>IF(AND(credit[[#This Row],[Credit amount]]&gt;9000,credit[[#This Row],[Saving accounts]]="little"),"High","Low")</f>
        <v>Low</v>
      </c>
    </row>
    <row r="25" spans="1:11" x14ac:dyDescent="0.25">
      <c r="A25">
        <v>44</v>
      </c>
      <c r="B25" s="13" t="str" cm="1">
        <f t="array" ref="B25">_xlfn.IFS(credit[[#This Row],[Age]]&lt;=25,"18-25",credit[[#This Row],[Age]]&lt;=35,"26-35",credit[[#This Row],[Age]]&lt;=45,"36-45",credit[[#This Row],[Age]]&lt;=60,"46-60",TRUE,"60+")</f>
        <v>36-45</v>
      </c>
      <c r="C25" t="s">
        <v>9</v>
      </c>
      <c r="D25">
        <v>2</v>
      </c>
      <c r="E25" t="s">
        <v>10</v>
      </c>
      <c r="F25" t="s">
        <v>15</v>
      </c>
      <c r="G25" t="s">
        <v>15</v>
      </c>
      <c r="H25">
        <v>1804</v>
      </c>
      <c r="I25">
        <v>12</v>
      </c>
      <c r="J25" t="s">
        <v>19</v>
      </c>
      <c r="K25" t="str">
        <f>IF(AND(credit[[#This Row],[Credit amount]]&gt;9000,credit[[#This Row],[Saving accounts]]="little"),"High","Low")</f>
        <v>Low</v>
      </c>
    </row>
    <row r="26" spans="1:11" x14ac:dyDescent="0.25">
      <c r="A26">
        <v>26</v>
      </c>
      <c r="B26" s="13" t="str" cm="1">
        <f t="array" ref="B26">_xlfn.IFS(credit[[#This Row],[Age]]&lt;=25,"18-25",credit[[#This Row],[Age]]&lt;=35,"26-35",credit[[#This Row],[Age]]&lt;=45,"36-45",credit[[#This Row],[Age]]&lt;=60,"46-60",TRUE,"60+")</f>
        <v>26-35</v>
      </c>
      <c r="C26" t="s">
        <v>9</v>
      </c>
      <c r="D26">
        <v>2</v>
      </c>
      <c r="E26" t="s">
        <v>10</v>
      </c>
      <c r="F26" t="s">
        <v>11</v>
      </c>
      <c r="G26" t="s">
        <v>11</v>
      </c>
      <c r="H26">
        <v>2069</v>
      </c>
      <c r="I26">
        <v>10</v>
      </c>
      <c r="J26" t="s">
        <v>18</v>
      </c>
      <c r="K26" t="str">
        <f>IF(AND(credit[[#This Row],[Credit amount]]&gt;9000,credit[[#This Row],[Saving accounts]]="little"),"High","Low")</f>
        <v>Low</v>
      </c>
    </row>
    <row r="27" spans="1:11" x14ac:dyDescent="0.25">
      <c r="A27">
        <v>36</v>
      </c>
      <c r="B27" s="13" t="str" cm="1">
        <f t="array" ref="B27">_xlfn.IFS(credit[[#This Row],[Age]]&lt;=25,"18-25",credit[[#This Row],[Age]]&lt;=35,"26-35",credit[[#This Row],[Age]]&lt;=45,"36-45",credit[[#This Row],[Age]]&lt;=60,"46-60",TRUE,"60+")</f>
        <v>36-45</v>
      </c>
      <c r="C27" t="s">
        <v>9</v>
      </c>
      <c r="D27">
        <v>1</v>
      </c>
      <c r="E27" t="s">
        <v>10</v>
      </c>
      <c r="F27" t="s">
        <v>12</v>
      </c>
      <c r="G27" t="s">
        <v>12</v>
      </c>
      <c r="H27">
        <v>1374</v>
      </c>
      <c r="I27">
        <v>6</v>
      </c>
      <c r="J27" t="s">
        <v>18</v>
      </c>
      <c r="K27" t="str">
        <f>IF(AND(credit[[#This Row],[Credit amount]]&gt;9000,credit[[#This Row],[Saving accounts]]="little"),"High","Low")</f>
        <v>Low</v>
      </c>
    </row>
    <row r="28" spans="1:11" x14ac:dyDescent="0.25">
      <c r="A28">
        <v>39</v>
      </c>
      <c r="B28" s="13" t="str" cm="1">
        <f t="array" ref="B28">_xlfn.IFS(credit[[#This Row],[Age]]&lt;=25,"18-25",credit[[#This Row],[Age]]&lt;=35,"26-35",credit[[#This Row],[Age]]&lt;=45,"36-45",credit[[#This Row],[Age]]&lt;=60,"46-60",TRUE,"60+")</f>
        <v>36-45</v>
      </c>
      <c r="C28" t="s">
        <v>9</v>
      </c>
      <c r="D28">
        <v>1</v>
      </c>
      <c r="E28" t="s">
        <v>10</v>
      </c>
      <c r="F28" t="s">
        <v>12</v>
      </c>
      <c r="G28" t="s">
        <v>11</v>
      </c>
      <c r="H28">
        <v>426</v>
      </c>
      <c r="I28">
        <v>6</v>
      </c>
      <c r="J28" t="s">
        <v>13</v>
      </c>
      <c r="K28" t="str">
        <f>IF(AND(credit[[#This Row],[Credit amount]]&gt;9000,credit[[#This Row],[Saving accounts]]="little"),"High","Low")</f>
        <v>Low</v>
      </c>
    </row>
    <row r="29" spans="1:11" x14ac:dyDescent="0.25">
      <c r="A29">
        <v>42</v>
      </c>
      <c r="B29" s="13" t="str" cm="1">
        <f t="array" ref="B29">_xlfn.IFS(credit[[#This Row],[Age]]&lt;=25,"18-25",credit[[#This Row],[Age]]&lt;=35,"26-35",credit[[#This Row],[Age]]&lt;=45,"36-45",credit[[#This Row],[Age]]&lt;=60,"46-60",TRUE,"60+")</f>
        <v>36-45</v>
      </c>
      <c r="C29" t="s">
        <v>14</v>
      </c>
      <c r="D29">
        <v>2</v>
      </c>
      <c r="E29" t="s">
        <v>21</v>
      </c>
      <c r="F29" t="s">
        <v>22</v>
      </c>
      <c r="G29" t="s">
        <v>22</v>
      </c>
      <c r="H29">
        <v>409</v>
      </c>
      <c r="I29">
        <v>12</v>
      </c>
      <c r="J29" t="s">
        <v>13</v>
      </c>
      <c r="K29" t="str">
        <f>IF(AND(credit[[#This Row],[Credit amount]]&gt;9000,credit[[#This Row],[Saving accounts]]="little"),"High","Low")</f>
        <v>Low</v>
      </c>
    </row>
    <row r="30" spans="1:11" x14ac:dyDescent="0.25">
      <c r="A30">
        <v>34</v>
      </c>
      <c r="B30" s="13" t="str" cm="1">
        <f t="array" ref="B30">_xlfn.IFS(credit[[#This Row],[Age]]&lt;=25,"18-25",credit[[#This Row],[Age]]&lt;=35,"26-35",credit[[#This Row],[Age]]&lt;=45,"36-45",credit[[#This Row],[Age]]&lt;=60,"46-60",TRUE,"60+")</f>
        <v>26-35</v>
      </c>
      <c r="C30" t="s">
        <v>9</v>
      </c>
      <c r="D30">
        <v>2</v>
      </c>
      <c r="E30" t="s">
        <v>10</v>
      </c>
      <c r="F30" t="s">
        <v>12</v>
      </c>
      <c r="G30" t="s">
        <v>15</v>
      </c>
      <c r="H30">
        <v>2415</v>
      </c>
      <c r="I30">
        <v>7</v>
      </c>
      <c r="J30" t="s">
        <v>13</v>
      </c>
      <c r="K30" t="str">
        <f>IF(AND(credit[[#This Row],[Credit amount]]&gt;9000,credit[[#This Row],[Saving accounts]]="little"),"High","Low")</f>
        <v>Low</v>
      </c>
    </row>
    <row r="31" spans="1:11" x14ac:dyDescent="0.25">
      <c r="A31">
        <v>63</v>
      </c>
      <c r="B31" s="13" t="str" cm="1">
        <f t="array" ref="B31">_xlfn.IFS(credit[[#This Row],[Age]]&lt;=25,"18-25",credit[[#This Row],[Age]]&lt;=35,"26-35",credit[[#This Row],[Age]]&lt;=45,"36-45",credit[[#This Row],[Age]]&lt;=60,"46-60",TRUE,"60+")</f>
        <v>60+</v>
      </c>
      <c r="C31" t="s">
        <v>9</v>
      </c>
      <c r="D31">
        <v>2</v>
      </c>
      <c r="E31" t="s">
        <v>10</v>
      </c>
      <c r="F31" t="s">
        <v>12</v>
      </c>
      <c r="G31" t="s">
        <v>12</v>
      </c>
      <c r="H31">
        <v>6836</v>
      </c>
      <c r="I31">
        <v>60</v>
      </c>
      <c r="J31" t="s">
        <v>23</v>
      </c>
      <c r="K31" t="str">
        <f>IF(AND(credit[[#This Row],[Credit amount]]&gt;9000,credit[[#This Row],[Saving accounts]]="little"),"High","Low")</f>
        <v>Low</v>
      </c>
    </row>
    <row r="32" spans="1:11" x14ac:dyDescent="0.25">
      <c r="A32">
        <v>36</v>
      </c>
      <c r="B32" s="13" t="str" cm="1">
        <f t="array" ref="B32">_xlfn.IFS(credit[[#This Row],[Age]]&lt;=25,"18-25",credit[[#This Row],[Age]]&lt;=35,"26-35",credit[[#This Row],[Age]]&lt;=45,"36-45",credit[[#This Row],[Age]]&lt;=60,"46-60",TRUE,"60+")</f>
        <v>36-45</v>
      </c>
      <c r="C32" t="s">
        <v>9</v>
      </c>
      <c r="D32">
        <v>2</v>
      </c>
      <c r="E32" t="s">
        <v>10</v>
      </c>
      <c r="F32" t="s">
        <v>22</v>
      </c>
      <c r="G32" t="s">
        <v>15</v>
      </c>
      <c r="H32">
        <v>1913</v>
      </c>
      <c r="I32">
        <v>18</v>
      </c>
      <c r="J32" t="s">
        <v>23</v>
      </c>
      <c r="K32" t="str">
        <f>IF(AND(credit[[#This Row],[Credit amount]]&gt;9000,credit[[#This Row],[Saving accounts]]="little"),"High","Low")</f>
        <v>Low</v>
      </c>
    </row>
    <row r="33" spans="1:11" x14ac:dyDescent="0.25">
      <c r="A33">
        <v>27</v>
      </c>
      <c r="B33" s="13" t="str" cm="1">
        <f t="array" ref="B33">_xlfn.IFS(credit[[#This Row],[Age]]&lt;=25,"18-25",credit[[#This Row],[Age]]&lt;=35,"26-35",credit[[#This Row],[Age]]&lt;=45,"36-45",credit[[#This Row],[Age]]&lt;=60,"46-60",TRUE,"60+")</f>
        <v>26-35</v>
      </c>
      <c r="C33" t="s">
        <v>9</v>
      </c>
      <c r="D33">
        <v>2</v>
      </c>
      <c r="E33" t="s">
        <v>10</v>
      </c>
      <c r="F33" t="s">
        <v>12</v>
      </c>
      <c r="G33" t="s">
        <v>12</v>
      </c>
      <c r="H33">
        <v>4020</v>
      </c>
      <c r="I33">
        <v>24</v>
      </c>
      <c r="J33" t="s">
        <v>18</v>
      </c>
      <c r="K33" t="str">
        <f>IF(AND(credit[[#This Row],[Credit amount]]&gt;9000,credit[[#This Row],[Saving accounts]]="little"),"High","Low")</f>
        <v>Low</v>
      </c>
    </row>
    <row r="34" spans="1:11" x14ac:dyDescent="0.25">
      <c r="A34">
        <v>30</v>
      </c>
      <c r="B34" s="13" t="str" cm="1">
        <f t="array" ref="B34">_xlfn.IFS(credit[[#This Row],[Age]]&lt;=25,"18-25",credit[[#This Row],[Age]]&lt;=35,"26-35",credit[[#This Row],[Age]]&lt;=45,"36-45",credit[[#This Row],[Age]]&lt;=60,"46-60",TRUE,"60+")</f>
        <v>26-35</v>
      </c>
      <c r="C34" t="s">
        <v>9</v>
      </c>
      <c r="D34">
        <v>2</v>
      </c>
      <c r="E34" t="s">
        <v>10</v>
      </c>
      <c r="F34" t="s">
        <v>15</v>
      </c>
      <c r="G34" t="s">
        <v>15</v>
      </c>
      <c r="H34">
        <v>5866</v>
      </c>
      <c r="I34">
        <v>18</v>
      </c>
      <c r="J34" t="s">
        <v>19</v>
      </c>
      <c r="K34" t="str">
        <f>IF(AND(credit[[#This Row],[Credit amount]]&gt;9000,credit[[#This Row],[Saving accounts]]="little"),"High","Low")</f>
        <v>Low</v>
      </c>
    </row>
    <row r="35" spans="1:11" x14ac:dyDescent="0.25">
      <c r="A35">
        <v>57</v>
      </c>
      <c r="B35" s="13" t="str" cm="1">
        <f t="array" ref="B35">_xlfn.IFS(credit[[#This Row],[Age]]&lt;=25,"18-25",credit[[#This Row],[Age]]&lt;=35,"26-35",credit[[#This Row],[Age]]&lt;=45,"36-45",credit[[#This Row],[Age]]&lt;=60,"46-60",TRUE,"60+")</f>
        <v>46-60</v>
      </c>
      <c r="C35" t="s">
        <v>9</v>
      </c>
      <c r="D35">
        <v>1</v>
      </c>
      <c r="E35" t="s">
        <v>21</v>
      </c>
      <c r="F35" t="s">
        <v>11</v>
      </c>
      <c r="G35" t="s">
        <v>11</v>
      </c>
      <c r="H35">
        <v>1264</v>
      </c>
      <c r="I35">
        <v>12</v>
      </c>
      <c r="J35" t="s">
        <v>23</v>
      </c>
      <c r="K35" t="str">
        <f>IF(AND(credit[[#This Row],[Credit amount]]&gt;9000,credit[[#This Row],[Saving accounts]]="little"),"High","Low")</f>
        <v>Low</v>
      </c>
    </row>
    <row r="36" spans="1:11" x14ac:dyDescent="0.25">
      <c r="A36">
        <v>33</v>
      </c>
      <c r="B36" s="13" t="str" cm="1">
        <f t="array" ref="B36">_xlfn.IFS(credit[[#This Row],[Age]]&lt;=25,"18-25",credit[[#This Row],[Age]]&lt;=35,"26-35",credit[[#This Row],[Age]]&lt;=45,"36-45",credit[[#This Row],[Age]]&lt;=60,"46-60",TRUE,"60+")</f>
        <v>26-35</v>
      </c>
      <c r="C36" t="s">
        <v>14</v>
      </c>
      <c r="D36">
        <v>3</v>
      </c>
      <c r="E36" t="s">
        <v>10</v>
      </c>
      <c r="F36" t="s">
        <v>12</v>
      </c>
      <c r="G36" t="s">
        <v>22</v>
      </c>
      <c r="H36">
        <v>1474</v>
      </c>
      <c r="I36">
        <v>12</v>
      </c>
      <c r="J36" t="s">
        <v>18</v>
      </c>
      <c r="K36" t="str">
        <f>IF(AND(credit[[#This Row],[Credit amount]]&gt;9000,credit[[#This Row],[Saving accounts]]="little"),"High","Low")</f>
        <v>Low</v>
      </c>
    </row>
    <row r="37" spans="1:11" x14ac:dyDescent="0.25">
      <c r="A37">
        <v>25</v>
      </c>
      <c r="B37" s="13" t="str" cm="1">
        <f t="array" ref="B37">_xlfn.IFS(credit[[#This Row],[Age]]&lt;=25,"18-25",credit[[#This Row],[Age]]&lt;=35,"26-35",credit[[#This Row],[Age]]&lt;=45,"36-45",credit[[#This Row],[Age]]&lt;=60,"46-60",TRUE,"60+")</f>
        <v>18-25</v>
      </c>
      <c r="C37" t="s">
        <v>9</v>
      </c>
      <c r="D37">
        <v>1</v>
      </c>
      <c r="E37" t="s">
        <v>10</v>
      </c>
      <c r="F37" t="s">
        <v>12</v>
      </c>
      <c r="G37" t="s">
        <v>15</v>
      </c>
      <c r="H37">
        <v>4746</v>
      </c>
      <c r="I37">
        <v>45</v>
      </c>
      <c r="J37" t="s">
        <v>13</v>
      </c>
      <c r="K37" t="str">
        <f>IF(AND(credit[[#This Row],[Credit amount]]&gt;9000,credit[[#This Row],[Saving accounts]]="little"),"High","Low")</f>
        <v>Low</v>
      </c>
    </row>
    <row r="38" spans="1:11" x14ac:dyDescent="0.25">
      <c r="A38">
        <v>31</v>
      </c>
      <c r="B38" s="13" t="str" cm="1">
        <f t="array" ref="B38">_xlfn.IFS(credit[[#This Row],[Age]]&lt;=25,"18-25",credit[[#This Row],[Age]]&lt;=35,"26-35",credit[[#This Row],[Age]]&lt;=45,"36-45",credit[[#This Row],[Age]]&lt;=60,"46-60",TRUE,"60+")</f>
        <v>26-35</v>
      </c>
      <c r="C38" t="s">
        <v>9</v>
      </c>
      <c r="D38">
        <v>2</v>
      </c>
      <c r="E38" t="s">
        <v>17</v>
      </c>
      <c r="F38" t="s">
        <v>12</v>
      </c>
      <c r="G38" t="s">
        <v>11</v>
      </c>
      <c r="H38">
        <v>6110</v>
      </c>
      <c r="I38">
        <v>48</v>
      </c>
      <c r="J38" t="s">
        <v>16</v>
      </c>
      <c r="K38" t="str">
        <f>IF(AND(credit[[#This Row],[Credit amount]]&gt;9000,credit[[#This Row],[Saving accounts]]="little"),"High","Low")</f>
        <v>Low</v>
      </c>
    </row>
    <row r="39" spans="1:11" x14ac:dyDescent="0.25">
      <c r="A39">
        <v>37</v>
      </c>
      <c r="B39" s="13" t="str" cm="1">
        <f t="array" ref="B39">_xlfn.IFS(credit[[#This Row],[Age]]&lt;=25,"18-25",credit[[#This Row],[Age]]&lt;=35,"26-35",credit[[#This Row],[Age]]&lt;=45,"36-45",credit[[#This Row],[Age]]&lt;=60,"46-60",TRUE,"60+")</f>
        <v>36-45</v>
      </c>
      <c r="C39" t="s">
        <v>9</v>
      </c>
      <c r="D39">
        <v>2</v>
      </c>
      <c r="E39" t="s">
        <v>10</v>
      </c>
      <c r="F39" t="s">
        <v>12</v>
      </c>
      <c r="G39" t="s">
        <v>22</v>
      </c>
      <c r="H39">
        <v>2100</v>
      </c>
      <c r="I39">
        <v>18</v>
      </c>
      <c r="J39" t="s">
        <v>13</v>
      </c>
      <c r="K39" t="str">
        <f>IF(AND(credit[[#This Row],[Credit amount]]&gt;9000,credit[[#This Row],[Saving accounts]]="little"),"High","Low")</f>
        <v>Low</v>
      </c>
    </row>
    <row r="40" spans="1:11" x14ac:dyDescent="0.25">
      <c r="A40">
        <v>37</v>
      </c>
      <c r="B40" s="13" t="str" cm="1">
        <f t="array" ref="B40">_xlfn.IFS(credit[[#This Row],[Age]]&lt;=25,"18-25",credit[[#This Row],[Age]]&lt;=35,"26-35",credit[[#This Row],[Age]]&lt;=45,"36-45",credit[[#This Row],[Age]]&lt;=60,"46-60",TRUE,"60+")</f>
        <v>36-45</v>
      </c>
      <c r="C40" t="s">
        <v>9</v>
      </c>
      <c r="D40">
        <v>2</v>
      </c>
      <c r="E40" t="s">
        <v>10</v>
      </c>
      <c r="F40" t="s">
        <v>12</v>
      </c>
      <c r="G40" t="s">
        <v>22</v>
      </c>
      <c r="H40">
        <v>1225</v>
      </c>
      <c r="I40">
        <v>10</v>
      </c>
      <c r="J40" t="s">
        <v>24</v>
      </c>
      <c r="K40" t="str">
        <f>IF(AND(credit[[#This Row],[Credit amount]]&gt;9000,credit[[#This Row],[Saving accounts]]="little"),"High","Low")</f>
        <v>Low</v>
      </c>
    </row>
    <row r="41" spans="1:11" x14ac:dyDescent="0.25">
      <c r="A41">
        <v>24</v>
      </c>
      <c r="B41" s="13" t="str" cm="1">
        <f t="array" ref="B41">_xlfn.IFS(credit[[#This Row],[Age]]&lt;=25,"18-25",credit[[#This Row],[Age]]&lt;=35,"26-35",credit[[#This Row],[Age]]&lt;=45,"36-45",credit[[#This Row],[Age]]&lt;=60,"46-60",TRUE,"60+")</f>
        <v>18-25</v>
      </c>
      <c r="C41" t="s">
        <v>9</v>
      </c>
      <c r="D41">
        <v>2</v>
      </c>
      <c r="E41" t="s">
        <v>10</v>
      </c>
      <c r="F41" t="s">
        <v>12</v>
      </c>
      <c r="G41" t="s">
        <v>15</v>
      </c>
      <c r="H41">
        <v>458</v>
      </c>
      <c r="I41">
        <v>9</v>
      </c>
      <c r="J41" t="s">
        <v>13</v>
      </c>
      <c r="K41" t="str">
        <f>IF(AND(credit[[#This Row],[Credit amount]]&gt;9000,credit[[#This Row],[Saving accounts]]="little"),"High","Low")</f>
        <v>Low</v>
      </c>
    </row>
    <row r="42" spans="1:11" x14ac:dyDescent="0.25">
      <c r="A42">
        <v>30</v>
      </c>
      <c r="B42" s="13" t="str" cm="1">
        <f t="array" ref="B42">_xlfn.IFS(credit[[#This Row],[Age]]&lt;=25,"18-25",credit[[#This Row],[Age]]&lt;=35,"26-35",credit[[#This Row],[Age]]&lt;=45,"36-45",credit[[#This Row],[Age]]&lt;=60,"46-60",TRUE,"60+")</f>
        <v>26-35</v>
      </c>
      <c r="C42" t="s">
        <v>9</v>
      </c>
      <c r="D42">
        <v>3</v>
      </c>
      <c r="E42" t="s">
        <v>10</v>
      </c>
      <c r="F42" t="s">
        <v>20</v>
      </c>
      <c r="G42" t="s">
        <v>11</v>
      </c>
      <c r="H42">
        <v>2333</v>
      </c>
      <c r="I42">
        <v>30</v>
      </c>
      <c r="J42" t="s">
        <v>13</v>
      </c>
      <c r="K42" t="str">
        <f>IF(AND(credit[[#This Row],[Credit amount]]&gt;9000,credit[[#This Row],[Saving accounts]]="little"),"High","Low")</f>
        <v>Low</v>
      </c>
    </row>
    <row r="43" spans="1:11" x14ac:dyDescent="0.25">
      <c r="A43">
        <v>26</v>
      </c>
      <c r="B43" s="13" t="str" cm="1">
        <f t="array" ref="B43">_xlfn.IFS(credit[[#This Row],[Age]]&lt;=25,"18-25",credit[[#This Row],[Age]]&lt;=35,"26-35",credit[[#This Row],[Age]]&lt;=45,"36-45",credit[[#This Row],[Age]]&lt;=60,"46-60",TRUE,"60+")</f>
        <v>26-35</v>
      </c>
      <c r="C43" t="s">
        <v>9</v>
      </c>
      <c r="D43">
        <v>2</v>
      </c>
      <c r="E43" t="s">
        <v>10</v>
      </c>
      <c r="F43" t="s">
        <v>20</v>
      </c>
      <c r="G43" t="s">
        <v>15</v>
      </c>
      <c r="H43">
        <v>1158</v>
      </c>
      <c r="I43">
        <v>12</v>
      </c>
      <c r="J43" t="s">
        <v>13</v>
      </c>
      <c r="K43" t="str">
        <f>IF(AND(credit[[#This Row],[Credit amount]]&gt;9000,credit[[#This Row],[Saving accounts]]="little"),"High","Low")</f>
        <v>Low</v>
      </c>
    </row>
    <row r="44" spans="1:11" x14ac:dyDescent="0.25">
      <c r="A44">
        <v>44</v>
      </c>
      <c r="B44" s="13" t="str" cm="1">
        <f t="array" ref="B44">_xlfn.IFS(credit[[#This Row],[Age]]&lt;=25,"18-25",credit[[#This Row],[Age]]&lt;=35,"26-35",credit[[#This Row],[Age]]&lt;=45,"36-45",credit[[#This Row],[Age]]&lt;=60,"46-60",TRUE,"60+")</f>
        <v>36-45</v>
      </c>
      <c r="C44" t="s">
        <v>9</v>
      </c>
      <c r="D44">
        <v>1</v>
      </c>
      <c r="E44" t="s">
        <v>10</v>
      </c>
      <c r="F44" t="s">
        <v>12</v>
      </c>
      <c r="G44" t="s">
        <v>15</v>
      </c>
      <c r="H44">
        <v>6204</v>
      </c>
      <c r="I44">
        <v>18</v>
      </c>
      <c r="J44" t="s">
        <v>25</v>
      </c>
      <c r="K44" t="str">
        <f>IF(AND(credit[[#This Row],[Credit amount]]&gt;9000,credit[[#This Row],[Saving accounts]]="little"),"High","Low")</f>
        <v>Low</v>
      </c>
    </row>
    <row r="45" spans="1:11" x14ac:dyDescent="0.25">
      <c r="A45">
        <v>24</v>
      </c>
      <c r="B45" s="13" t="str" cm="1">
        <f t="array" ref="B45">_xlfn.IFS(credit[[#This Row],[Age]]&lt;=25,"18-25",credit[[#This Row],[Age]]&lt;=35,"26-35",credit[[#This Row],[Age]]&lt;=45,"36-45",credit[[#This Row],[Age]]&lt;=60,"46-60",TRUE,"60+")</f>
        <v>18-25</v>
      </c>
      <c r="C45" t="s">
        <v>9</v>
      </c>
      <c r="D45">
        <v>2</v>
      </c>
      <c r="E45" t="s">
        <v>21</v>
      </c>
      <c r="F45" t="s">
        <v>15</v>
      </c>
      <c r="G45" t="s">
        <v>12</v>
      </c>
      <c r="H45">
        <v>6187</v>
      </c>
      <c r="I45">
        <v>30</v>
      </c>
      <c r="J45" t="s">
        <v>19</v>
      </c>
      <c r="K45" t="str">
        <f>IF(AND(credit[[#This Row],[Credit amount]]&gt;9000,credit[[#This Row],[Saving accounts]]="little"),"High","Low")</f>
        <v>Low</v>
      </c>
    </row>
    <row r="46" spans="1:11" x14ac:dyDescent="0.25">
      <c r="A46">
        <v>58</v>
      </c>
      <c r="B46" s="13" t="str" cm="1">
        <f t="array" ref="B46">_xlfn.IFS(credit[[#This Row],[Age]]&lt;=25,"18-25",credit[[#This Row],[Age]]&lt;=35,"26-35",credit[[#This Row],[Age]]&lt;=45,"36-45",credit[[#This Row],[Age]]&lt;=60,"46-60",TRUE,"60+")</f>
        <v>46-60</v>
      </c>
      <c r="C46" t="s">
        <v>14</v>
      </c>
      <c r="D46">
        <v>1</v>
      </c>
      <c r="E46" t="s">
        <v>17</v>
      </c>
      <c r="F46" t="s">
        <v>12</v>
      </c>
      <c r="G46" t="s">
        <v>12</v>
      </c>
      <c r="H46">
        <v>6143</v>
      </c>
      <c r="I46">
        <v>48</v>
      </c>
      <c r="J46" t="s">
        <v>19</v>
      </c>
      <c r="K46" t="str">
        <f>IF(AND(credit[[#This Row],[Credit amount]]&gt;9000,credit[[#This Row],[Saving accounts]]="little"),"High","Low")</f>
        <v>Low</v>
      </c>
    </row>
    <row r="47" spans="1:11" x14ac:dyDescent="0.25">
      <c r="A47">
        <v>35</v>
      </c>
      <c r="B47" s="13" t="str" cm="1">
        <f t="array" ref="B47">_xlfn.IFS(credit[[#This Row],[Age]]&lt;=25,"18-25",credit[[#This Row],[Age]]&lt;=35,"26-35",credit[[#This Row],[Age]]&lt;=45,"36-45",credit[[#This Row],[Age]]&lt;=60,"46-60",TRUE,"60+")</f>
        <v>26-35</v>
      </c>
      <c r="C47" t="s">
        <v>14</v>
      </c>
      <c r="D47">
        <v>3</v>
      </c>
      <c r="E47" t="s">
        <v>10</v>
      </c>
      <c r="F47" t="s">
        <v>12</v>
      </c>
      <c r="G47" t="s">
        <v>11</v>
      </c>
      <c r="H47">
        <v>1393</v>
      </c>
      <c r="I47">
        <v>11</v>
      </c>
      <c r="J47" t="s">
        <v>19</v>
      </c>
      <c r="K47" t="str">
        <f>IF(AND(credit[[#This Row],[Credit amount]]&gt;9000,credit[[#This Row],[Saving accounts]]="little"),"High","Low")</f>
        <v>Low</v>
      </c>
    </row>
    <row r="48" spans="1:11" x14ac:dyDescent="0.25">
      <c r="A48">
        <v>39</v>
      </c>
      <c r="B48" s="13" t="str" cm="1">
        <f t="array" ref="B48">_xlfn.IFS(credit[[#This Row],[Age]]&lt;=25,"18-25",credit[[#This Row],[Age]]&lt;=35,"26-35",credit[[#This Row],[Age]]&lt;=45,"36-45",credit[[#This Row],[Age]]&lt;=60,"46-60",TRUE,"60+")</f>
        <v>36-45</v>
      </c>
      <c r="C48" t="s">
        <v>9</v>
      </c>
      <c r="D48">
        <v>2</v>
      </c>
      <c r="E48" t="s">
        <v>10</v>
      </c>
      <c r="F48" t="s">
        <v>20</v>
      </c>
      <c r="G48" t="s">
        <v>11</v>
      </c>
      <c r="H48">
        <v>2299</v>
      </c>
      <c r="I48">
        <v>36</v>
      </c>
      <c r="J48" t="s">
        <v>13</v>
      </c>
      <c r="K48" t="str">
        <f>IF(AND(credit[[#This Row],[Credit amount]]&gt;9000,credit[[#This Row],[Saving accounts]]="little"),"High","Low")</f>
        <v>Low</v>
      </c>
    </row>
    <row r="49" spans="1:11" x14ac:dyDescent="0.25">
      <c r="A49">
        <v>23</v>
      </c>
      <c r="B49" s="13" t="str" cm="1">
        <f t="array" ref="B49">_xlfn.IFS(credit[[#This Row],[Age]]&lt;=25,"18-25",credit[[#This Row],[Age]]&lt;=35,"26-35",credit[[#This Row],[Age]]&lt;=45,"36-45",credit[[#This Row],[Age]]&lt;=60,"46-60",TRUE,"60+")</f>
        <v>18-25</v>
      </c>
      <c r="C49" t="s">
        <v>14</v>
      </c>
      <c r="D49">
        <v>0</v>
      </c>
      <c r="E49" t="s">
        <v>21</v>
      </c>
      <c r="F49" t="s">
        <v>20</v>
      </c>
      <c r="G49" t="s">
        <v>12</v>
      </c>
      <c r="H49">
        <v>1352</v>
      </c>
      <c r="I49">
        <v>6</v>
      </c>
      <c r="J49" t="s">
        <v>19</v>
      </c>
      <c r="K49" t="str">
        <f>IF(AND(credit[[#This Row],[Credit amount]]&gt;9000,credit[[#This Row],[Saving accounts]]="little"),"High","Low")</f>
        <v>Low</v>
      </c>
    </row>
    <row r="50" spans="1:11" x14ac:dyDescent="0.25">
      <c r="A50">
        <v>39</v>
      </c>
      <c r="B50" s="13" t="str" cm="1">
        <f t="array" ref="B50">_xlfn.IFS(credit[[#This Row],[Age]]&lt;=25,"18-25",credit[[#This Row],[Age]]&lt;=35,"26-35",credit[[#This Row],[Age]]&lt;=45,"36-45",credit[[#This Row],[Age]]&lt;=60,"46-60",TRUE,"60+")</f>
        <v>36-45</v>
      </c>
      <c r="C50" t="s">
        <v>9</v>
      </c>
      <c r="D50">
        <v>1</v>
      </c>
      <c r="E50" t="s">
        <v>10</v>
      </c>
      <c r="F50" t="s">
        <v>12</v>
      </c>
      <c r="G50" t="s">
        <v>11</v>
      </c>
      <c r="H50">
        <v>7228</v>
      </c>
      <c r="I50">
        <v>11</v>
      </c>
      <c r="J50" t="s">
        <v>19</v>
      </c>
      <c r="K50" t="str">
        <f>IF(AND(credit[[#This Row],[Credit amount]]&gt;9000,credit[[#This Row],[Saving accounts]]="little"),"High","Low")</f>
        <v>Low</v>
      </c>
    </row>
    <row r="51" spans="1:11" x14ac:dyDescent="0.25">
      <c r="A51">
        <v>28</v>
      </c>
      <c r="B51" s="13" t="str" cm="1">
        <f t="array" ref="B51">_xlfn.IFS(credit[[#This Row],[Age]]&lt;=25,"18-25",credit[[#This Row],[Age]]&lt;=35,"26-35",credit[[#This Row],[Age]]&lt;=45,"36-45",credit[[#This Row],[Age]]&lt;=60,"46-60",TRUE,"60+")</f>
        <v>26-35</v>
      </c>
      <c r="C51" t="s">
        <v>14</v>
      </c>
      <c r="D51">
        <v>2</v>
      </c>
      <c r="E51" t="s">
        <v>10</v>
      </c>
      <c r="F51" t="s">
        <v>15</v>
      </c>
      <c r="G51" t="s">
        <v>11</v>
      </c>
      <c r="H51">
        <v>2073</v>
      </c>
      <c r="I51">
        <v>12</v>
      </c>
      <c r="J51" t="s">
        <v>13</v>
      </c>
      <c r="K51" t="str">
        <f>IF(AND(credit[[#This Row],[Credit amount]]&gt;9000,credit[[#This Row],[Saving accounts]]="little"),"High","Low")</f>
        <v>Low</v>
      </c>
    </row>
    <row r="52" spans="1:11" x14ac:dyDescent="0.25">
      <c r="A52">
        <v>29</v>
      </c>
      <c r="B52" s="13" t="str" cm="1">
        <f t="array" ref="B52">_xlfn.IFS(credit[[#This Row],[Age]]&lt;=25,"18-25",credit[[#This Row],[Age]]&lt;=35,"26-35",credit[[#This Row],[Age]]&lt;=45,"36-45",credit[[#This Row],[Age]]&lt;=60,"46-60",TRUE,"60+")</f>
        <v>26-35</v>
      </c>
      <c r="C52" t="s">
        <v>9</v>
      </c>
      <c r="D52">
        <v>1</v>
      </c>
      <c r="E52" t="s">
        <v>10</v>
      </c>
      <c r="F52" t="s">
        <v>11</v>
      </c>
      <c r="G52" t="s">
        <v>15</v>
      </c>
      <c r="H52">
        <v>2333</v>
      </c>
      <c r="I52">
        <v>24</v>
      </c>
      <c r="J52" t="s">
        <v>18</v>
      </c>
      <c r="K52" t="str">
        <f>IF(AND(credit[[#This Row],[Credit amount]]&gt;9000,credit[[#This Row],[Saving accounts]]="little"),"High","Low")</f>
        <v>Low</v>
      </c>
    </row>
    <row r="53" spans="1:11" x14ac:dyDescent="0.25">
      <c r="A53">
        <v>30</v>
      </c>
      <c r="B53" s="13" t="str" cm="1">
        <f t="array" ref="B53">_xlfn.IFS(credit[[#This Row],[Age]]&lt;=25,"18-25",credit[[#This Row],[Age]]&lt;=35,"26-35",credit[[#This Row],[Age]]&lt;=45,"36-45",credit[[#This Row],[Age]]&lt;=60,"46-60",TRUE,"60+")</f>
        <v>26-35</v>
      </c>
      <c r="C53" t="s">
        <v>9</v>
      </c>
      <c r="D53">
        <v>3</v>
      </c>
      <c r="E53" t="s">
        <v>10</v>
      </c>
      <c r="F53" t="s">
        <v>12</v>
      </c>
      <c r="G53" t="s">
        <v>15</v>
      </c>
      <c r="H53">
        <v>5965</v>
      </c>
      <c r="I53">
        <v>27</v>
      </c>
      <c r="J53" t="s">
        <v>19</v>
      </c>
      <c r="K53" t="str">
        <f>IF(AND(credit[[#This Row],[Credit amount]]&gt;9000,credit[[#This Row],[Saving accounts]]="little"),"High","Low")</f>
        <v>Low</v>
      </c>
    </row>
    <row r="54" spans="1:11" x14ac:dyDescent="0.25">
      <c r="A54">
        <v>25</v>
      </c>
      <c r="B54" s="13" t="str" cm="1">
        <f t="array" ref="B54">_xlfn.IFS(credit[[#This Row],[Age]]&lt;=25,"18-25",credit[[#This Row],[Age]]&lt;=35,"26-35",credit[[#This Row],[Age]]&lt;=45,"36-45",credit[[#This Row],[Age]]&lt;=60,"46-60",TRUE,"60+")</f>
        <v>18-25</v>
      </c>
      <c r="C54" t="s">
        <v>9</v>
      </c>
      <c r="D54">
        <v>2</v>
      </c>
      <c r="E54" t="s">
        <v>10</v>
      </c>
      <c r="F54" t="s">
        <v>12</v>
      </c>
      <c r="G54" t="s">
        <v>11</v>
      </c>
      <c r="H54">
        <v>1262</v>
      </c>
      <c r="I54">
        <v>12</v>
      </c>
      <c r="J54" t="s">
        <v>13</v>
      </c>
      <c r="K54" t="str">
        <f>IF(AND(credit[[#This Row],[Credit amount]]&gt;9000,credit[[#This Row],[Saving accounts]]="little"),"High","Low")</f>
        <v>Low</v>
      </c>
    </row>
    <row r="55" spans="1:11" x14ac:dyDescent="0.25">
      <c r="A55">
        <v>31</v>
      </c>
      <c r="B55" s="13" t="str" cm="1">
        <f t="array" ref="B55">_xlfn.IFS(credit[[#This Row],[Age]]&lt;=25,"18-25",credit[[#This Row],[Age]]&lt;=35,"26-35",credit[[#This Row],[Age]]&lt;=45,"36-45",credit[[#This Row],[Age]]&lt;=60,"46-60",TRUE,"60+")</f>
        <v>26-35</v>
      </c>
      <c r="C55" t="s">
        <v>9</v>
      </c>
      <c r="D55">
        <v>2</v>
      </c>
      <c r="E55" t="s">
        <v>10</v>
      </c>
      <c r="F55" t="s">
        <v>11</v>
      </c>
      <c r="G55" t="s">
        <v>11</v>
      </c>
      <c r="H55">
        <v>3378</v>
      </c>
      <c r="I55">
        <v>18</v>
      </c>
      <c r="J55" t="s">
        <v>19</v>
      </c>
      <c r="K55" t="str">
        <f>IF(AND(credit[[#This Row],[Credit amount]]&gt;9000,credit[[#This Row],[Saving accounts]]="little"),"High","Low")</f>
        <v>Low</v>
      </c>
    </row>
    <row r="56" spans="1:11" x14ac:dyDescent="0.25">
      <c r="A56">
        <v>57</v>
      </c>
      <c r="B56" s="13" t="str" cm="1">
        <f t="array" ref="B56">_xlfn.IFS(credit[[#This Row],[Age]]&lt;=25,"18-25",credit[[#This Row],[Age]]&lt;=35,"26-35",credit[[#This Row],[Age]]&lt;=45,"36-45",credit[[#This Row],[Age]]&lt;=60,"46-60",TRUE,"60+")</f>
        <v>46-60</v>
      </c>
      <c r="C56" t="s">
        <v>9</v>
      </c>
      <c r="D56">
        <v>2</v>
      </c>
      <c r="E56" t="s">
        <v>17</v>
      </c>
      <c r="F56" t="s">
        <v>12</v>
      </c>
      <c r="G56" t="s">
        <v>15</v>
      </c>
      <c r="H56">
        <v>2225</v>
      </c>
      <c r="I56">
        <v>36</v>
      </c>
      <c r="J56" t="s">
        <v>19</v>
      </c>
      <c r="K56" t="str">
        <f>IF(AND(credit[[#This Row],[Credit amount]]&gt;9000,credit[[#This Row],[Saving accounts]]="little"),"High","Low")</f>
        <v>Low</v>
      </c>
    </row>
    <row r="57" spans="1:11" x14ac:dyDescent="0.25">
      <c r="A57">
        <v>26</v>
      </c>
      <c r="B57" s="13" t="str" cm="1">
        <f t="array" ref="B57">_xlfn.IFS(credit[[#This Row],[Age]]&lt;=25,"18-25",credit[[#This Row],[Age]]&lt;=35,"26-35",credit[[#This Row],[Age]]&lt;=45,"36-45",credit[[#This Row],[Age]]&lt;=60,"46-60",TRUE,"60+")</f>
        <v>26-35</v>
      </c>
      <c r="C57" t="s">
        <v>9</v>
      </c>
      <c r="D57">
        <v>1</v>
      </c>
      <c r="E57" t="s">
        <v>10</v>
      </c>
      <c r="F57" t="s">
        <v>11</v>
      </c>
      <c r="G57" t="s">
        <v>11</v>
      </c>
      <c r="H57">
        <v>783</v>
      </c>
      <c r="I57">
        <v>6</v>
      </c>
      <c r="J57" t="s">
        <v>19</v>
      </c>
      <c r="K57" t="str">
        <f>IF(AND(credit[[#This Row],[Credit amount]]&gt;9000,credit[[#This Row],[Saving accounts]]="little"),"High","Low")</f>
        <v>Low</v>
      </c>
    </row>
    <row r="58" spans="1:11" x14ac:dyDescent="0.25">
      <c r="A58">
        <v>52</v>
      </c>
      <c r="B58" s="13" t="str" cm="1">
        <f t="array" ref="B58">_xlfn.IFS(credit[[#This Row],[Age]]&lt;=25,"18-25",credit[[#This Row],[Age]]&lt;=35,"26-35",credit[[#This Row],[Age]]&lt;=45,"36-45",credit[[#This Row],[Age]]&lt;=60,"46-60",TRUE,"60+")</f>
        <v>46-60</v>
      </c>
      <c r="C58" t="s">
        <v>9</v>
      </c>
      <c r="D58">
        <v>3</v>
      </c>
      <c r="E58" t="s">
        <v>10</v>
      </c>
      <c r="F58" t="s">
        <v>11</v>
      </c>
      <c r="G58" t="s">
        <v>15</v>
      </c>
      <c r="H58">
        <v>6468</v>
      </c>
      <c r="I58">
        <v>12</v>
      </c>
      <c r="J58" t="s">
        <v>13</v>
      </c>
      <c r="K58" t="str">
        <f>IF(AND(credit[[#This Row],[Credit amount]]&gt;9000,credit[[#This Row],[Saving accounts]]="little"),"High","Low")</f>
        <v>Low</v>
      </c>
    </row>
    <row r="59" spans="1:11" x14ac:dyDescent="0.25">
      <c r="A59">
        <v>31</v>
      </c>
      <c r="B59" s="13" t="str" cm="1">
        <f t="array" ref="B59">_xlfn.IFS(credit[[#This Row],[Age]]&lt;=25,"18-25",credit[[#This Row],[Age]]&lt;=35,"26-35",credit[[#This Row],[Age]]&lt;=45,"36-45",credit[[#This Row],[Age]]&lt;=60,"46-60",TRUE,"60+")</f>
        <v>26-35</v>
      </c>
      <c r="C59" t="s">
        <v>14</v>
      </c>
      <c r="D59">
        <v>2</v>
      </c>
      <c r="E59" t="s">
        <v>10</v>
      </c>
      <c r="F59" t="s">
        <v>12</v>
      </c>
      <c r="G59" t="s">
        <v>11</v>
      </c>
      <c r="H59">
        <v>9566</v>
      </c>
      <c r="I59">
        <v>36</v>
      </c>
      <c r="J59" t="s">
        <v>13</v>
      </c>
      <c r="K59" t="str">
        <f>IF(AND(credit[[#This Row],[Credit amount]]&gt;9000,credit[[#This Row],[Saving accounts]]="little"),"High","Low")</f>
        <v>High</v>
      </c>
    </row>
    <row r="60" spans="1:11" x14ac:dyDescent="0.25">
      <c r="A60">
        <v>23</v>
      </c>
      <c r="B60" s="13" t="str" cm="1">
        <f t="array" ref="B60">_xlfn.IFS(credit[[#This Row],[Age]]&lt;=25,"18-25",credit[[#This Row],[Age]]&lt;=35,"26-35",credit[[#This Row],[Age]]&lt;=45,"36-45",credit[[#This Row],[Age]]&lt;=60,"46-60",TRUE,"60+")</f>
        <v>18-25</v>
      </c>
      <c r="C60" t="s">
        <v>14</v>
      </c>
      <c r="D60">
        <v>3</v>
      </c>
      <c r="E60" t="s">
        <v>10</v>
      </c>
      <c r="F60" t="s">
        <v>12</v>
      </c>
      <c r="G60" t="s">
        <v>22</v>
      </c>
      <c r="H60">
        <v>1961</v>
      </c>
      <c r="I60">
        <v>18</v>
      </c>
      <c r="J60" t="s">
        <v>19</v>
      </c>
      <c r="K60" t="str">
        <f>IF(AND(credit[[#This Row],[Credit amount]]&gt;9000,credit[[#This Row],[Saving accounts]]="little"),"High","Low")</f>
        <v>Low</v>
      </c>
    </row>
    <row r="61" spans="1:11" x14ac:dyDescent="0.25">
      <c r="A61">
        <v>23</v>
      </c>
      <c r="B61" s="13" t="str" cm="1">
        <f t="array" ref="B61">_xlfn.IFS(credit[[#This Row],[Age]]&lt;=25,"18-25",credit[[#This Row],[Age]]&lt;=35,"26-35",credit[[#This Row],[Age]]&lt;=45,"36-45",credit[[#This Row],[Age]]&lt;=60,"46-60",TRUE,"60+")</f>
        <v>18-25</v>
      </c>
      <c r="C61" t="s">
        <v>14</v>
      </c>
      <c r="D61">
        <v>1</v>
      </c>
      <c r="E61" t="s">
        <v>21</v>
      </c>
      <c r="F61" t="s">
        <v>12</v>
      </c>
      <c r="G61" t="s">
        <v>12</v>
      </c>
      <c r="H61">
        <v>6229</v>
      </c>
      <c r="I61">
        <v>36</v>
      </c>
      <c r="J61" t="s">
        <v>18</v>
      </c>
      <c r="K61" t="str">
        <f>IF(AND(credit[[#This Row],[Credit amount]]&gt;9000,credit[[#This Row],[Saving accounts]]="little"),"High","Low")</f>
        <v>Low</v>
      </c>
    </row>
    <row r="62" spans="1:11" x14ac:dyDescent="0.25">
      <c r="A62">
        <v>27</v>
      </c>
      <c r="B62" s="13" t="str" cm="1">
        <f t="array" ref="B62">_xlfn.IFS(credit[[#This Row],[Age]]&lt;=25,"18-25",credit[[#This Row],[Age]]&lt;=35,"26-35",credit[[#This Row],[Age]]&lt;=45,"36-45",credit[[#This Row],[Age]]&lt;=60,"46-60",TRUE,"60+")</f>
        <v>26-35</v>
      </c>
      <c r="C62" t="s">
        <v>9</v>
      </c>
      <c r="D62">
        <v>2</v>
      </c>
      <c r="E62" t="s">
        <v>10</v>
      </c>
      <c r="F62" t="s">
        <v>12</v>
      </c>
      <c r="G62" t="s">
        <v>15</v>
      </c>
      <c r="H62">
        <v>1391</v>
      </c>
      <c r="I62">
        <v>9</v>
      </c>
      <c r="J62" t="s">
        <v>23</v>
      </c>
      <c r="K62" t="str">
        <f>IF(AND(credit[[#This Row],[Credit amount]]&gt;9000,credit[[#This Row],[Saving accounts]]="little"),"High","Low")</f>
        <v>Low</v>
      </c>
    </row>
    <row r="63" spans="1:11" x14ac:dyDescent="0.25">
      <c r="A63">
        <v>50</v>
      </c>
      <c r="B63" s="13" t="str" cm="1">
        <f t="array" ref="B63">_xlfn.IFS(credit[[#This Row],[Age]]&lt;=25,"18-25",credit[[#This Row],[Age]]&lt;=35,"26-35",credit[[#This Row],[Age]]&lt;=45,"36-45",credit[[#This Row],[Age]]&lt;=60,"46-60",TRUE,"60+")</f>
        <v>46-60</v>
      </c>
      <c r="C63" t="s">
        <v>9</v>
      </c>
      <c r="D63">
        <v>2</v>
      </c>
      <c r="E63" t="s">
        <v>10</v>
      </c>
      <c r="F63" t="s">
        <v>11</v>
      </c>
      <c r="G63" t="s">
        <v>15</v>
      </c>
      <c r="H63">
        <v>1537</v>
      </c>
      <c r="I63">
        <v>15</v>
      </c>
      <c r="J63" t="s">
        <v>13</v>
      </c>
      <c r="K63" t="str">
        <f>IF(AND(credit[[#This Row],[Credit amount]]&gt;9000,credit[[#This Row],[Saving accounts]]="little"),"High","Low")</f>
        <v>Low</v>
      </c>
    </row>
    <row r="64" spans="1:11" x14ac:dyDescent="0.25">
      <c r="A64">
        <v>61</v>
      </c>
      <c r="B64" s="13" t="str" cm="1">
        <f t="array" ref="B64">_xlfn.IFS(credit[[#This Row],[Age]]&lt;=25,"18-25",credit[[#This Row],[Age]]&lt;=35,"26-35",credit[[#This Row],[Age]]&lt;=45,"36-45",credit[[#This Row],[Age]]&lt;=60,"46-60",TRUE,"60+")</f>
        <v>60+</v>
      </c>
      <c r="C64" t="s">
        <v>9</v>
      </c>
      <c r="D64">
        <v>3</v>
      </c>
      <c r="E64" t="s">
        <v>17</v>
      </c>
      <c r="F64" t="s">
        <v>12</v>
      </c>
      <c r="G64" t="s">
        <v>15</v>
      </c>
      <c r="H64">
        <v>1953</v>
      </c>
      <c r="I64">
        <v>36</v>
      </c>
      <c r="J64" t="s">
        <v>23</v>
      </c>
      <c r="K64" t="str">
        <f>IF(AND(credit[[#This Row],[Credit amount]]&gt;9000,credit[[#This Row],[Saving accounts]]="little"),"High","Low")</f>
        <v>Low</v>
      </c>
    </row>
    <row r="65" spans="1:11" x14ac:dyDescent="0.25">
      <c r="A65">
        <v>25</v>
      </c>
      <c r="B65" s="13" t="str" cm="1">
        <f t="array" ref="B65">_xlfn.IFS(credit[[#This Row],[Age]]&lt;=25,"18-25",credit[[#This Row],[Age]]&lt;=35,"26-35",credit[[#This Row],[Age]]&lt;=45,"36-45",credit[[#This Row],[Age]]&lt;=60,"46-60",TRUE,"60+")</f>
        <v>18-25</v>
      </c>
      <c r="C65" t="s">
        <v>9</v>
      </c>
      <c r="D65">
        <v>2</v>
      </c>
      <c r="E65" t="s">
        <v>10</v>
      </c>
      <c r="F65" t="s">
        <v>12</v>
      </c>
      <c r="G65" t="s">
        <v>15</v>
      </c>
      <c r="H65">
        <v>14421</v>
      </c>
      <c r="I65">
        <v>48</v>
      </c>
      <c r="J65" t="s">
        <v>23</v>
      </c>
      <c r="K65" t="str">
        <f>IF(AND(credit[[#This Row],[Credit amount]]&gt;9000,credit[[#This Row],[Saving accounts]]="little"),"High","Low")</f>
        <v>High</v>
      </c>
    </row>
    <row r="66" spans="1:11" x14ac:dyDescent="0.25">
      <c r="A66">
        <v>26</v>
      </c>
      <c r="B66" s="13" t="str" cm="1">
        <f t="array" ref="B66">_xlfn.IFS(credit[[#This Row],[Age]]&lt;=25,"18-25",credit[[#This Row],[Age]]&lt;=35,"26-35",credit[[#This Row],[Age]]&lt;=45,"36-45",credit[[#This Row],[Age]]&lt;=60,"46-60",TRUE,"60+")</f>
        <v>26-35</v>
      </c>
      <c r="C66" t="s">
        <v>14</v>
      </c>
      <c r="D66">
        <v>2</v>
      </c>
      <c r="E66" t="s">
        <v>10</v>
      </c>
      <c r="F66" t="s">
        <v>12</v>
      </c>
      <c r="G66" t="s">
        <v>11</v>
      </c>
      <c r="H66">
        <v>3181</v>
      </c>
      <c r="I66">
        <v>24</v>
      </c>
      <c r="J66" t="s">
        <v>13</v>
      </c>
      <c r="K66" t="str">
        <f>IF(AND(credit[[#This Row],[Credit amount]]&gt;9000,credit[[#This Row],[Saving accounts]]="little"),"High","Low")</f>
        <v>Low</v>
      </c>
    </row>
    <row r="67" spans="1:11" x14ac:dyDescent="0.25">
      <c r="A67">
        <v>48</v>
      </c>
      <c r="B67" s="13" t="str" cm="1">
        <f t="array" ref="B67">_xlfn.IFS(credit[[#This Row],[Age]]&lt;=25,"18-25",credit[[#This Row],[Age]]&lt;=35,"26-35",credit[[#This Row],[Age]]&lt;=45,"36-45",credit[[#This Row],[Age]]&lt;=60,"46-60",TRUE,"60+")</f>
        <v>46-60</v>
      </c>
      <c r="C67" t="s">
        <v>9</v>
      </c>
      <c r="D67">
        <v>2</v>
      </c>
      <c r="E67" t="s">
        <v>10</v>
      </c>
      <c r="F67" t="s">
        <v>11</v>
      </c>
      <c r="G67" t="s">
        <v>11</v>
      </c>
      <c r="H67">
        <v>5190</v>
      </c>
      <c r="I67">
        <v>27</v>
      </c>
      <c r="J67" t="s">
        <v>25</v>
      </c>
      <c r="K67" t="str">
        <f>IF(AND(credit[[#This Row],[Credit amount]]&gt;9000,credit[[#This Row],[Saving accounts]]="little"),"High","Low")</f>
        <v>Low</v>
      </c>
    </row>
    <row r="68" spans="1:11" x14ac:dyDescent="0.25">
      <c r="A68">
        <v>29</v>
      </c>
      <c r="B68" s="13" t="str" cm="1">
        <f t="array" ref="B68">_xlfn.IFS(credit[[#This Row],[Age]]&lt;=25,"18-25",credit[[#This Row],[Age]]&lt;=35,"26-35",credit[[#This Row],[Age]]&lt;=45,"36-45",credit[[#This Row],[Age]]&lt;=60,"46-60",TRUE,"60+")</f>
        <v>26-35</v>
      </c>
      <c r="C68" t="s">
        <v>14</v>
      </c>
      <c r="D68">
        <v>2</v>
      </c>
      <c r="E68" t="s">
        <v>10</v>
      </c>
      <c r="F68" t="s">
        <v>12</v>
      </c>
      <c r="G68" t="s">
        <v>11</v>
      </c>
      <c r="H68">
        <v>2171</v>
      </c>
      <c r="I68">
        <v>12</v>
      </c>
      <c r="J68" t="s">
        <v>13</v>
      </c>
      <c r="K68" t="str">
        <f>IF(AND(credit[[#This Row],[Credit amount]]&gt;9000,credit[[#This Row],[Saving accounts]]="little"),"High","Low")</f>
        <v>Low</v>
      </c>
    </row>
    <row r="69" spans="1:11" x14ac:dyDescent="0.25">
      <c r="A69">
        <v>22</v>
      </c>
      <c r="B69" s="13" t="str" cm="1">
        <f t="array" ref="B69">_xlfn.IFS(credit[[#This Row],[Age]]&lt;=25,"18-25",credit[[#This Row],[Age]]&lt;=35,"26-35",credit[[#This Row],[Age]]&lt;=45,"36-45",credit[[#This Row],[Age]]&lt;=60,"46-60",TRUE,"60+")</f>
        <v>18-25</v>
      </c>
      <c r="C69" t="s">
        <v>9</v>
      </c>
      <c r="D69">
        <v>2</v>
      </c>
      <c r="E69" t="s">
        <v>10</v>
      </c>
      <c r="F69" t="s">
        <v>22</v>
      </c>
      <c r="G69" t="s">
        <v>15</v>
      </c>
      <c r="H69">
        <v>1007</v>
      </c>
      <c r="I69">
        <v>12</v>
      </c>
      <c r="J69" t="s">
        <v>19</v>
      </c>
      <c r="K69" t="str">
        <f>IF(AND(credit[[#This Row],[Credit amount]]&gt;9000,credit[[#This Row],[Saving accounts]]="little"),"High","Low")</f>
        <v>Low</v>
      </c>
    </row>
    <row r="70" spans="1:11" x14ac:dyDescent="0.25">
      <c r="A70">
        <v>37</v>
      </c>
      <c r="B70" s="13" t="str" cm="1">
        <f t="array" ref="B70">_xlfn.IFS(credit[[#This Row],[Age]]&lt;=25,"18-25",credit[[#This Row],[Age]]&lt;=35,"26-35",credit[[#This Row],[Age]]&lt;=45,"36-45",credit[[#This Row],[Age]]&lt;=60,"46-60",TRUE,"60+")</f>
        <v>36-45</v>
      </c>
      <c r="C70" t="s">
        <v>9</v>
      </c>
      <c r="D70">
        <v>2</v>
      </c>
      <c r="E70" t="s">
        <v>17</v>
      </c>
      <c r="F70" t="s">
        <v>12</v>
      </c>
      <c r="G70" t="s">
        <v>11</v>
      </c>
      <c r="H70">
        <v>1819</v>
      </c>
      <c r="I70">
        <v>36</v>
      </c>
      <c r="J70" t="s">
        <v>16</v>
      </c>
      <c r="K70" t="str">
        <f>IF(AND(credit[[#This Row],[Credit amount]]&gt;9000,credit[[#This Row],[Saving accounts]]="little"),"High","Low")</f>
        <v>Low</v>
      </c>
    </row>
    <row r="71" spans="1:11" x14ac:dyDescent="0.25">
      <c r="A71">
        <v>25</v>
      </c>
      <c r="B71" s="13" t="str" cm="1">
        <f t="array" ref="B71">_xlfn.IFS(credit[[#This Row],[Age]]&lt;=25,"18-25",credit[[#This Row],[Age]]&lt;=35,"26-35",credit[[#This Row],[Age]]&lt;=45,"36-45",credit[[#This Row],[Age]]&lt;=60,"46-60",TRUE,"60+")</f>
        <v>18-25</v>
      </c>
      <c r="C71" t="s">
        <v>14</v>
      </c>
      <c r="D71">
        <v>2</v>
      </c>
      <c r="E71" t="s">
        <v>10</v>
      </c>
      <c r="F71" t="s">
        <v>11</v>
      </c>
      <c r="G71" t="s">
        <v>11</v>
      </c>
      <c r="H71">
        <v>2394</v>
      </c>
      <c r="I71">
        <v>36</v>
      </c>
      <c r="J71" t="s">
        <v>13</v>
      </c>
      <c r="K71" t="str">
        <f>IF(AND(credit[[#This Row],[Credit amount]]&gt;9000,credit[[#This Row],[Saving accounts]]="little"),"High","Low")</f>
        <v>Low</v>
      </c>
    </row>
    <row r="72" spans="1:11" x14ac:dyDescent="0.25">
      <c r="A72">
        <v>30</v>
      </c>
      <c r="B72" s="13" t="str" cm="1">
        <f t="array" ref="B72">_xlfn.IFS(credit[[#This Row],[Age]]&lt;=25,"18-25",credit[[#This Row],[Age]]&lt;=35,"26-35",credit[[#This Row],[Age]]&lt;=45,"36-45",credit[[#This Row],[Age]]&lt;=60,"46-60",TRUE,"60+")</f>
        <v>26-35</v>
      </c>
      <c r="C72" t="s">
        <v>14</v>
      </c>
      <c r="D72">
        <v>2</v>
      </c>
      <c r="E72" t="s">
        <v>10</v>
      </c>
      <c r="F72" t="s">
        <v>12</v>
      </c>
      <c r="G72" t="s">
        <v>11</v>
      </c>
      <c r="H72">
        <v>8133</v>
      </c>
      <c r="I72">
        <v>36</v>
      </c>
      <c r="J72" t="s">
        <v>19</v>
      </c>
      <c r="K72" t="str">
        <f>IF(AND(credit[[#This Row],[Credit amount]]&gt;9000,credit[[#This Row],[Saving accounts]]="little"),"High","Low")</f>
        <v>Low</v>
      </c>
    </row>
    <row r="73" spans="1:11" x14ac:dyDescent="0.25">
      <c r="A73">
        <v>46</v>
      </c>
      <c r="B73" s="13" t="str" cm="1">
        <f t="array" ref="B73">_xlfn.IFS(credit[[#This Row],[Age]]&lt;=25,"18-25",credit[[#This Row],[Age]]&lt;=35,"26-35",credit[[#This Row],[Age]]&lt;=45,"36-45",credit[[#This Row],[Age]]&lt;=60,"46-60",TRUE,"60+")</f>
        <v>46-60</v>
      </c>
      <c r="C73" t="s">
        <v>9</v>
      </c>
      <c r="D73">
        <v>1</v>
      </c>
      <c r="E73" t="s">
        <v>21</v>
      </c>
      <c r="F73" t="s">
        <v>11</v>
      </c>
      <c r="G73" t="s">
        <v>11</v>
      </c>
      <c r="H73">
        <v>730</v>
      </c>
      <c r="I73">
        <v>7</v>
      </c>
      <c r="J73" t="s">
        <v>13</v>
      </c>
      <c r="K73" t="str">
        <f>IF(AND(credit[[#This Row],[Credit amount]]&gt;9000,credit[[#This Row],[Saving accounts]]="little"),"High","Low")</f>
        <v>Low</v>
      </c>
    </row>
    <row r="74" spans="1:11" x14ac:dyDescent="0.25">
      <c r="A74">
        <v>51</v>
      </c>
      <c r="B74" s="13" t="str" cm="1">
        <f t="array" ref="B74">_xlfn.IFS(credit[[#This Row],[Age]]&lt;=25,"18-25",credit[[#This Row],[Age]]&lt;=35,"26-35",credit[[#This Row],[Age]]&lt;=45,"36-45",credit[[#This Row],[Age]]&lt;=60,"46-60",TRUE,"60+")</f>
        <v>46-60</v>
      </c>
      <c r="C74" t="s">
        <v>9</v>
      </c>
      <c r="D74">
        <v>3</v>
      </c>
      <c r="E74" t="s">
        <v>17</v>
      </c>
      <c r="F74" t="s">
        <v>12</v>
      </c>
      <c r="G74" t="s">
        <v>12</v>
      </c>
      <c r="H74">
        <v>1164</v>
      </c>
      <c r="I74">
        <v>8</v>
      </c>
      <c r="J74" t="s">
        <v>26</v>
      </c>
      <c r="K74" t="str">
        <f>IF(AND(credit[[#This Row],[Credit amount]]&gt;9000,credit[[#This Row],[Saving accounts]]="little"),"High","Low")</f>
        <v>Low</v>
      </c>
    </row>
    <row r="75" spans="1:11" x14ac:dyDescent="0.25">
      <c r="A75">
        <v>41</v>
      </c>
      <c r="B75" s="13" t="str" cm="1">
        <f t="array" ref="B75">_xlfn.IFS(credit[[#This Row],[Age]]&lt;=25,"18-25",credit[[#This Row],[Age]]&lt;=35,"26-35",credit[[#This Row],[Age]]&lt;=45,"36-45",credit[[#This Row],[Age]]&lt;=60,"46-60",TRUE,"60+")</f>
        <v>36-45</v>
      </c>
      <c r="C75" t="s">
        <v>14</v>
      </c>
      <c r="D75">
        <v>1</v>
      </c>
      <c r="E75" t="s">
        <v>10</v>
      </c>
      <c r="F75" t="s">
        <v>12</v>
      </c>
      <c r="G75" t="s">
        <v>15</v>
      </c>
      <c r="H75">
        <v>5954</v>
      </c>
      <c r="I75">
        <v>42</v>
      </c>
      <c r="J75" t="s">
        <v>23</v>
      </c>
      <c r="K75" t="str">
        <f>IF(AND(credit[[#This Row],[Credit amount]]&gt;9000,credit[[#This Row],[Saving accounts]]="little"),"High","Low")</f>
        <v>Low</v>
      </c>
    </row>
    <row r="76" spans="1:11" x14ac:dyDescent="0.25">
      <c r="A76">
        <v>40</v>
      </c>
      <c r="B76" s="13" t="str" cm="1">
        <f t="array" ref="B76">_xlfn.IFS(credit[[#This Row],[Age]]&lt;=25,"18-25",credit[[#This Row],[Age]]&lt;=35,"26-35",credit[[#This Row],[Age]]&lt;=45,"36-45",credit[[#This Row],[Age]]&lt;=60,"46-60",TRUE,"60+")</f>
        <v>36-45</v>
      </c>
      <c r="C76" t="s">
        <v>9</v>
      </c>
      <c r="D76">
        <v>3</v>
      </c>
      <c r="E76" t="s">
        <v>10</v>
      </c>
      <c r="F76" t="s">
        <v>11</v>
      </c>
      <c r="G76" t="s">
        <v>12</v>
      </c>
      <c r="H76">
        <v>1977</v>
      </c>
      <c r="I76">
        <v>36</v>
      </c>
      <c r="J76" t="s">
        <v>16</v>
      </c>
      <c r="K76" t="str">
        <f>IF(AND(credit[[#This Row],[Credit amount]]&gt;9000,credit[[#This Row],[Saving accounts]]="little"),"High","Low")</f>
        <v>Low</v>
      </c>
    </row>
    <row r="77" spans="1:11" x14ac:dyDescent="0.25">
      <c r="A77">
        <v>66</v>
      </c>
      <c r="B77" s="13" t="str" cm="1">
        <f t="array" ref="B77">_xlfn.IFS(credit[[#This Row],[Age]]&lt;=25,"18-25",credit[[#This Row],[Age]]&lt;=35,"26-35",credit[[#This Row],[Age]]&lt;=45,"36-45",credit[[#This Row],[Age]]&lt;=60,"46-60",TRUE,"60+")</f>
        <v>60+</v>
      </c>
      <c r="C77" t="s">
        <v>9</v>
      </c>
      <c r="D77">
        <v>3</v>
      </c>
      <c r="E77" t="s">
        <v>17</v>
      </c>
      <c r="F77" t="s">
        <v>12</v>
      </c>
      <c r="G77" t="s">
        <v>12</v>
      </c>
      <c r="H77">
        <v>1526</v>
      </c>
      <c r="I77">
        <v>12</v>
      </c>
      <c r="J77" t="s">
        <v>19</v>
      </c>
      <c r="K77" t="str">
        <f>IF(AND(credit[[#This Row],[Credit amount]]&gt;9000,credit[[#This Row],[Saving accounts]]="little"),"High","Low")</f>
        <v>Low</v>
      </c>
    </row>
    <row r="78" spans="1:11" x14ac:dyDescent="0.25">
      <c r="A78">
        <v>34</v>
      </c>
      <c r="B78" s="13" t="str" cm="1">
        <f t="array" ref="B78">_xlfn.IFS(credit[[#This Row],[Age]]&lt;=25,"18-25",credit[[#This Row],[Age]]&lt;=35,"26-35",credit[[#This Row],[Age]]&lt;=45,"36-45",credit[[#This Row],[Age]]&lt;=60,"46-60",TRUE,"60+")</f>
        <v>26-35</v>
      </c>
      <c r="C78" t="s">
        <v>9</v>
      </c>
      <c r="D78">
        <v>2</v>
      </c>
      <c r="E78" t="s">
        <v>10</v>
      </c>
      <c r="F78" t="s">
        <v>12</v>
      </c>
      <c r="G78" t="s">
        <v>12</v>
      </c>
      <c r="H78">
        <v>3965</v>
      </c>
      <c r="I78">
        <v>42</v>
      </c>
      <c r="J78" t="s">
        <v>13</v>
      </c>
      <c r="K78" t="str">
        <f>IF(AND(credit[[#This Row],[Credit amount]]&gt;9000,credit[[#This Row],[Saving accounts]]="little"),"High","Low")</f>
        <v>Low</v>
      </c>
    </row>
    <row r="79" spans="1:11" x14ac:dyDescent="0.25">
      <c r="A79">
        <v>51</v>
      </c>
      <c r="B79" s="13" t="str" cm="1">
        <f t="array" ref="B79">_xlfn.IFS(credit[[#This Row],[Age]]&lt;=25,"18-25",credit[[#This Row],[Age]]&lt;=35,"26-35",credit[[#This Row],[Age]]&lt;=45,"36-45",credit[[#This Row],[Age]]&lt;=60,"46-60",TRUE,"60+")</f>
        <v>46-60</v>
      </c>
      <c r="C79" t="s">
        <v>9</v>
      </c>
      <c r="D79">
        <v>2</v>
      </c>
      <c r="E79" t="s">
        <v>10</v>
      </c>
      <c r="F79" t="s">
        <v>12</v>
      </c>
      <c r="G79" t="s">
        <v>15</v>
      </c>
      <c r="H79">
        <v>4771</v>
      </c>
      <c r="I79">
        <v>11</v>
      </c>
      <c r="J79" t="s">
        <v>13</v>
      </c>
      <c r="K79" t="str">
        <f>IF(AND(credit[[#This Row],[Credit amount]]&gt;9000,credit[[#This Row],[Saving accounts]]="little"),"High","Low")</f>
        <v>Low</v>
      </c>
    </row>
    <row r="80" spans="1:11" x14ac:dyDescent="0.25">
      <c r="A80">
        <v>39</v>
      </c>
      <c r="B80" s="13" t="str" cm="1">
        <f t="array" ref="B80">_xlfn.IFS(credit[[#This Row],[Age]]&lt;=25,"18-25",credit[[#This Row],[Age]]&lt;=35,"26-35",credit[[#This Row],[Age]]&lt;=45,"36-45",credit[[#This Row],[Age]]&lt;=60,"46-60",TRUE,"60+")</f>
        <v>36-45</v>
      </c>
      <c r="C80" t="s">
        <v>9</v>
      </c>
      <c r="D80">
        <v>1</v>
      </c>
      <c r="E80" t="s">
        <v>10</v>
      </c>
      <c r="F80" t="s">
        <v>11</v>
      </c>
      <c r="G80" t="s">
        <v>11</v>
      </c>
      <c r="H80">
        <v>9436</v>
      </c>
      <c r="I80">
        <v>54</v>
      </c>
      <c r="J80" t="s">
        <v>19</v>
      </c>
      <c r="K80" t="str">
        <f>IF(AND(credit[[#This Row],[Credit amount]]&gt;9000,credit[[#This Row],[Saving accounts]]="little"),"High","Low")</f>
        <v>Low</v>
      </c>
    </row>
    <row r="81" spans="1:11" x14ac:dyDescent="0.25">
      <c r="A81">
        <v>22</v>
      </c>
      <c r="B81" s="13" t="str" cm="1">
        <f t="array" ref="B81">_xlfn.IFS(credit[[#This Row],[Age]]&lt;=25,"18-25",credit[[#This Row],[Age]]&lt;=35,"26-35",credit[[#This Row],[Age]]&lt;=45,"36-45",credit[[#This Row],[Age]]&lt;=60,"46-60",TRUE,"60+")</f>
        <v>18-25</v>
      </c>
      <c r="C81" t="s">
        <v>9</v>
      </c>
      <c r="D81">
        <v>2</v>
      </c>
      <c r="E81" t="s">
        <v>10</v>
      </c>
      <c r="F81" t="s">
        <v>12</v>
      </c>
      <c r="G81" t="s">
        <v>15</v>
      </c>
      <c r="H81">
        <v>3832</v>
      </c>
      <c r="I81">
        <v>30</v>
      </c>
      <c r="J81" t="s">
        <v>18</v>
      </c>
      <c r="K81" t="str">
        <f>IF(AND(credit[[#This Row],[Credit amount]]&gt;9000,credit[[#This Row],[Saving accounts]]="little"),"High","Low")</f>
        <v>Low</v>
      </c>
    </row>
    <row r="82" spans="1:11" x14ac:dyDescent="0.25">
      <c r="A82">
        <v>44</v>
      </c>
      <c r="B82" s="13" t="str" cm="1">
        <f t="array" ref="B82">_xlfn.IFS(credit[[#This Row],[Age]]&lt;=25,"18-25",credit[[#This Row],[Age]]&lt;=35,"26-35",credit[[#This Row],[Age]]&lt;=45,"36-45",credit[[#This Row],[Age]]&lt;=60,"46-60",TRUE,"60+")</f>
        <v>36-45</v>
      </c>
      <c r="C82" t="s">
        <v>14</v>
      </c>
      <c r="D82">
        <v>2</v>
      </c>
      <c r="E82" t="s">
        <v>10</v>
      </c>
      <c r="F82" t="s">
        <v>11</v>
      </c>
      <c r="G82" t="s">
        <v>11</v>
      </c>
      <c r="H82">
        <v>5943</v>
      </c>
      <c r="I82">
        <v>24</v>
      </c>
      <c r="J82" t="s">
        <v>13</v>
      </c>
      <c r="K82" t="str">
        <f>IF(AND(credit[[#This Row],[Credit amount]]&gt;9000,credit[[#This Row],[Saving accounts]]="little"),"High","Low")</f>
        <v>Low</v>
      </c>
    </row>
    <row r="83" spans="1:11" x14ac:dyDescent="0.25">
      <c r="A83">
        <v>47</v>
      </c>
      <c r="B83" s="13" t="str" cm="1">
        <f t="array" ref="B83">_xlfn.IFS(credit[[#This Row],[Age]]&lt;=25,"18-25",credit[[#This Row],[Age]]&lt;=35,"26-35",credit[[#This Row],[Age]]&lt;=45,"36-45",credit[[#This Row],[Age]]&lt;=60,"46-60",TRUE,"60+")</f>
        <v>46-60</v>
      </c>
      <c r="C83" t="s">
        <v>9</v>
      </c>
      <c r="D83">
        <v>2</v>
      </c>
      <c r="E83" t="s">
        <v>10</v>
      </c>
      <c r="F83" t="s">
        <v>20</v>
      </c>
      <c r="G83" t="s">
        <v>11</v>
      </c>
      <c r="H83">
        <v>1213</v>
      </c>
      <c r="I83">
        <v>15</v>
      </c>
      <c r="J83" t="s">
        <v>13</v>
      </c>
      <c r="K83" t="str">
        <f>IF(AND(credit[[#This Row],[Credit amount]]&gt;9000,credit[[#This Row],[Saving accounts]]="little"),"High","Low")</f>
        <v>Low</v>
      </c>
    </row>
    <row r="84" spans="1:11" x14ac:dyDescent="0.25">
      <c r="A84">
        <v>24</v>
      </c>
      <c r="B84" s="13" t="str" cm="1">
        <f t="array" ref="B84">_xlfn.IFS(credit[[#This Row],[Age]]&lt;=25,"18-25",credit[[#This Row],[Age]]&lt;=35,"26-35",credit[[#This Row],[Age]]&lt;=45,"36-45",credit[[#This Row],[Age]]&lt;=60,"46-60",TRUE,"60+")</f>
        <v>18-25</v>
      </c>
      <c r="C84" t="s">
        <v>14</v>
      </c>
      <c r="D84">
        <v>1</v>
      </c>
      <c r="E84" t="s">
        <v>21</v>
      </c>
      <c r="F84" t="s">
        <v>15</v>
      </c>
      <c r="G84" t="s">
        <v>11</v>
      </c>
      <c r="H84">
        <v>1568</v>
      </c>
      <c r="I84">
        <v>18</v>
      </c>
      <c r="J84" t="s">
        <v>23</v>
      </c>
      <c r="K84" t="str">
        <f>IF(AND(credit[[#This Row],[Credit amount]]&gt;9000,credit[[#This Row],[Saving accounts]]="little"),"High","Low")</f>
        <v>Low</v>
      </c>
    </row>
    <row r="85" spans="1:11" x14ac:dyDescent="0.25">
      <c r="A85">
        <v>58</v>
      </c>
      <c r="B85" s="13" t="str" cm="1">
        <f t="array" ref="B85">_xlfn.IFS(credit[[#This Row],[Age]]&lt;=25,"18-25",credit[[#This Row],[Age]]&lt;=35,"26-35",credit[[#This Row],[Age]]&lt;=45,"36-45",credit[[#This Row],[Age]]&lt;=60,"46-60",TRUE,"60+")</f>
        <v>46-60</v>
      </c>
      <c r="C85" t="s">
        <v>14</v>
      </c>
      <c r="D85">
        <v>1</v>
      </c>
      <c r="E85" t="s">
        <v>10</v>
      </c>
      <c r="F85" t="s">
        <v>12</v>
      </c>
      <c r="G85" t="s">
        <v>12</v>
      </c>
      <c r="H85">
        <v>1755</v>
      </c>
      <c r="I85">
        <v>24</v>
      </c>
      <c r="J85" t="s">
        <v>26</v>
      </c>
      <c r="K85" t="str">
        <f>IF(AND(credit[[#This Row],[Credit amount]]&gt;9000,credit[[#This Row],[Saving accounts]]="little"),"High","Low")</f>
        <v>Low</v>
      </c>
    </row>
    <row r="86" spans="1:11" x14ac:dyDescent="0.25">
      <c r="A86">
        <v>52</v>
      </c>
      <c r="B86" s="13" t="str" cm="1">
        <f t="array" ref="B86">_xlfn.IFS(credit[[#This Row],[Age]]&lt;=25,"18-25",credit[[#This Row],[Age]]&lt;=35,"26-35",credit[[#This Row],[Age]]&lt;=45,"36-45",credit[[#This Row],[Age]]&lt;=60,"46-60",TRUE,"60+")</f>
        <v>46-60</v>
      </c>
      <c r="C86" t="s">
        <v>9</v>
      </c>
      <c r="D86">
        <v>1</v>
      </c>
      <c r="E86" t="s">
        <v>10</v>
      </c>
      <c r="F86" t="s">
        <v>12</v>
      </c>
      <c r="G86" t="s">
        <v>12</v>
      </c>
      <c r="H86">
        <v>2315</v>
      </c>
      <c r="I86">
        <v>10</v>
      </c>
      <c r="J86" t="s">
        <v>13</v>
      </c>
      <c r="K86" t="str">
        <f>IF(AND(credit[[#This Row],[Credit amount]]&gt;9000,credit[[#This Row],[Saving accounts]]="little"),"High","Low")</f>
        <v>Low</v>
      </c>
    </row>
    <row r="87" spans="1:11" x14ac:dyDescent="0.25">
      <c r="A87">
        <v>29</v>
      </c>
      <c r="B87" s="13" t="str" cm="1">
        <f t="array" ref="B87">_xlfn.IFS(credit[[#This Row],[Age]]&lt;=25,"18-25",credit[[#This Row],[Age]]&lt;=35,"26-35",credit[[#This Row],[Age]]&lt;=45,"36-45",credit[[#This Row],[Age]]&lt;=60,"46-60",TRUE,"60+")</f>
        <v>26-35</v>
      </c>
      <c r="C87" t="s">
        <v>14</v>
      </c>
      <c r="D87">
        <v>3</v>
      </c>
      <c r="E87" t="s">
        <v>10</v>
      </c>
      <c r="F87" t="s">
        <v>12</v>
      </c>
      <c r="G87" t="s">
        <v>11</v>
      </c>
      <c r="H87">
        <v>1412</v>
      </c>
      <c r="I87">
        <v>12</v>
      </c>
      <c r="J87" t="s">
        <v>23</v>
      </c>
      <c r="K87" t="str">
        <f>IF(AND(credit[[#This Row],[Credit amount]]&gt;9000,credit[[#This Row],[Saving accounts]]="little"),"High","Low")</f>
        <v>Low</v>
      </c>
    </row>
    <row r="88" spans="1:11" x14ac:dyDescent="0.25">
      <c r="A88">
        <v>27</v>
      </c>
      <c r="B88" s="13" t="str" cm="1">
        <f t="array" ref="B88">_xlfn.IFS(credit[[#This Row],[Age]]&lt;=25,"18-25",credit[[#This Row],[Age]]&lt;=35,"26-35",credit[[#This Row],[Age]]&lt;=45,"36-45",credit[[#This Row],[Age]]&lt;=60,"46-60",TRUE,"60+")</f>
        <v>26-35</v>
      </c>
      <c r="C88" t="s">
        <v>14</v>
      </c>
      <c r="D88">
        <v>2</v>
      </c>
      <c r="E88" t="s">
        <v>10</v>
      </c>
      <c r="F88" t="s">
        <v>12</v>
      </c>
      <c r="G88" t="s">
        <v>15</v>
      </c>
      <c r="H88">
        <v>1295</v>
      </c>
      <c r="I88">
        <v>18</v>
      </c>
      <c r="J88" t="s">
        <v>18</v>
      </c>
      <c r="K88" t="str">
        <f>IF(AND(credit[[#This Row],[Credit amount]]&gt;9000,credit[[#This Row],[Saving accounts]]="little"),"High","Low")</f>
        <v>Low</v>
      </c>
    </row>
    <row r="89" spans="1:11" x14ac:dyDescent="0.25">
      <c r="A89">
        <v>47</v>
      </c>
      <c r="B89" s="13" t="str" cm="1">
        <f t="array" ref="B89">_xlfn.IFS(credit[[#This Row],[Age]]&lt;=25,"18-25",credit[[#This Row],[Age]]&lt;=35,"26-35",credit[[#This Row],[Age]]&lt;=45,"36-45",credit[[#This Row],[Age]]&lt;=60,"46-60",TRUE,"60+")</f>
        <v>46-60</v>
      </c>
      <c r="C89" t="s">
        <v>9</v>
      </c>
      <c r="D89">
        <v>2</v>
      </c>
      <c r="E89" t="s">
        <v>17</v>
      </c>
      <c r="F89" t="s">
        <v>15</v>
      </c>
      <c r="G89" t="s">
        <v>15</v>
      </c>
      <c r="H89">
        <v>12612</v>
      </c>
      <c r="I89">
        <v>36</v>
      </c>
      <c r="J89" t="s">
        <v>16</v>
      </c>
      <c r="K89" t="str">
        <f>IF(AND(credit[[#This Row],[Credit amount]]&gt;9000,credit[[#This Row],[Saving accounts]]="little"),"High","Low")</f>
        <v>Low</v>
      </c>
    </row>
    <row r="90" spans="1:11" x14ac:dyDescent="0.25">
      <c r="A90">
        <v>30</v>
      </c>
      <c r="B90" s="13" t="str" cm="1">
        <f t="array" ref="B90">_xlfn.IFS(credit[[#This Row],[Age]]&lt;=25,"18-25",credit[[#This Row],[Age]]&lt;=35,"26-35",credit[[#This Row],[Age]]&lt;=45,"36-45",credit[[#This Row],[Age]]&lt;=60,"46-60",TRUE,"60+")</f>
        <v>26-35</v>
      </c>
      <c r="C90" t="s">
        <v>9</v>
      </c>
      <c r="D90">
        <v>3</v>
      </c>
      <c r="E90" t="s">
        <v>10</v>
      </c>
      <c r="F90" t="s">
        <v>15</v>
      </c>
      <c r="G90" t="s">
        <v>12</v>
      </c>
      <c r="H90">
        <v>2249</v>
      </c>
      <c r="I90">
        <v>18</v>
      </c>
      <c r="J90" t="s">
        <v>19</v>
      </c>
      <c r="K90" t="str">
        <f>IF(AND(credit[[#This Row],[Credit amount]]&gt;9000,credit[[#This Row],[Saving accounts]]="little"),"High","Low")</f>
        <v>Low</v>
      </c>
    </row>
    <row r="91" spans="1:11" x14ac:dyDescent="0.25">
      <c r="A91">
        <v>28</v>
      </c>
      <c r="B91" s="13" t="str" cm="1">
        <f t="array" ref="B91">_xlfn.IFS(credit[[#This Row],[Age]]&lt;=25,"18-25",credit[[#This Row],[Age]]&lt;=35,"26-35",credit[[#This Row],[Age]]&lt;=45,"36-45",credit[[#This Row],[Age]]&lt;=60,"46-60",TRUE,"60+")</f>
        <v>26-35</v>
      </c>
      <c r="C91" t="s">
        <v>9</v>
      </c>
      <c r="D91">
        <v>2</v>
      </c>
      <c r="E91" t="s">
        <v>10</v>
      </c>
      <c r="F91" t="s">
        <v>12</v>
      </c>
      <c r="G91" t="s">
        <v>12</v>
      </c>
      <c r="H91">
        <v>1108</v>
      </c>
      <c r="I91">
        <v>12</v>
      </c>
      <c r="J91" t="s">
        <v>25</v>
      </c>
      <c r="K91" t="str">
        <f>IF(AND(credit[[#This Row],[Credit amount]]&gt;9000,credit[[#This Row],[Saving accounts]]="little"),"High","Low")</f>
        <v>Low</v>
      </c>
    </row>
    <row r="92" spans="1:11" x14ac:dyDescent="0.25">
      <c r="A92">
        <v>56</v>
      </c>
      <c r="B92" s="13" t="str" cm="1">
        <f t="array" ref="B92">_xlfn.IFS(credit[[#This Row],[Age]]&lt;=25,"18-25",credit[[#This Row],[Age]]&lt;=35,"26-35",credit[[#This Row],[Age]]&lt;=45,"36-45",credit[[#This Row],[Age]]&lt;=60,"46-60",TRUE,"60+")</f>
        <v>46-60</v>
      </c>
      <c r="C92" t="s">
        <v>9</v>
      </c>
      <c r="D92">
        <v>2</v>
      </c>
      <c r="E92" t="s">
        <v>10</v>
      </c>
      <c r="F92" t="s">
        <v>12</v>
      </c>
      <c r="G92" t="s">
        <v>11</v>
      </c>
      <c r="H92">
        <v>618</v>
      </c>
      <c r="I92">
        <v>12</v>
      </c>
      <c r="J92" t="s">
        <v>13</v>
      </c>
      <c r="K92" t="str">
        <f>IF(AND(credit[[#This Row],[Credit amount]]&gt;9000,credit[[#This Row],[Saving accounts]]="little"),"High","Low")</f>
        <v>Low</v>
      </c>
    </row>
    <row r="93" spans="1:11" x14ac:dyDescent="0.25">
      <c r="A93">
        <v>54</v>
      </c>
      <c r="B93" s="13" t="str" cm="1">
        <f t="array" ref="B93">_xlfn.IFS(credit[[#This Row],[Age]]&lt;=25,"18-25",credit[[#This Row],[Age]]&lt;=35,"26-35",credit[[#This Row],[Age]]&lt;=45,"36-45",credit[[#This Row],[Age]]&lt;=60,"46-60",TRUE,"60+")</f>
        <v>46-60</v>
      </c>
      <c r="C93" t="s">
        <v>9</v>
      </c>
      <c r="D93">
        <v>2</v>
      </c>
      <c r="E93" t="s">
        <v>10</v>
      </c>
      <c r="F93" t="s">
        <v>12</v>
      </c>
      <c r="G93" t="s">
        <v>12</v>
      </c>
      <c r="H93">
        <v>1409</v>
      </c>
      <c r="I93">
        <v>12</v>
      </c>
      <c r="J93" t="s">
        <v>19</v>
      </c>
      <c r="K93" t="str">
        <f>IF(AND(credit[[#This Row],[Credit amount]]&gt;9000,credit[[#This Row],[Saving accounts]]="little"),"High","Low")</f>
        <v>Low</v>
      </c>
    </row>
    <row r="94" spans="1:11" x14ac:dyDescent="0.25">
      <c r="A94">
        <v>33</v>
      </c>
      <c r="B94" s="13" t="str" cm="1">
        <f t="array" ref="B94">_xlfn.IFS(credit[[#This Row],[Age]]&lt;=25,"18-25",credit[[#This Row],[Age]]&lt;=35,"26-35",credit[[#This Row],[Age]]&lt;=45,"36-45",credit[[#This Row],[Age]]&lt;=60,"46-60",TRUE,"60+")</f>
        <v>26-35</v>
      </c>
      <c r="C94" t="s">
        <v>14</v>
      </c>
      <c r="D94">
        <v>1</v>
      </c>
      <c r="E94" t="s">
        <v>10</v>
      </c>
      <c r="F94" t="s">
        <v>11</v>
      </c>
      <c r="G94" t="s">
        <v>11</v>
      </c>
      <c r="H94">
        <v>797</v>
      </c>
      <c r="I94">
        <v>12</v>
      </c>
      <c r="J94" t="s">
        <v>13</v>
      </c>
      <c r="K94" t="str">
        <f>IF(AND(credit[[#This Row],[Credit amount]]&gt;9000,credit[[#This Row],[Saving accounts]]="little"),"High","Low")</f>
        <v>Low</v>
      </c>
    </row>
    <row r="95" spans="1:11" x14ac:dyDescent="0.25">
      <c r="A95">
        <v>20</v>
      </c>
      <c r="B95" s="13" t="str" cm="1">
        <f t="array" ref="B95">_xlfn.IFS(credit[[#This Row],[Age]]&lt;=25,"18-25",credit[[#This Row],[Age]]&lt;=35,"26-35",credit[[#This Row],[Age]]&lt;=45,"36-45",credit[[#This Row],[Age]]&lt;=60,"46-60",TRUE,"60+")</f>
        <v>18-25</v>
      </c>
      <c r="C95" t="s">
        <v>9</v>
      </c>
      <c r="D95">
        <v>2</v>
      </c>
      <c r="E95" t="s">
        <v>21</v>
      </c>
      <c r="F95" t="s">
        <v>11</v>
      </c>
      <c r="G95" t="s">
        <v>22</v>
      </c>
      <c r="H95">
        <v>3617</v>
      </c>
      <c r="I95">
        <v>24</v>
      </c>
      <c r="J95" t="s">
        <v>18</v>
      </c>
      <c r="K95" t="str">
        <f>IF(AND(credit[[#This Row],[Credit amount]]&gt;9000,credit[[#This Row],[Saving accounts]]="little"),"High","Low")</f>
        <v>Low</v>
      </c>
    </row>
    <row r="96" spans="1:11" x14ac:dyDescent="0.25">
      <c r="A96">
        <v>54</v>
      </c>
      <c r="B96" s="13" t="str" cm="1">
        <f t="array" ref="B96">_xlfn.IFS(credit[[#This Row],[Age]]&lt;=25,"18-25",credit[[#This Row],[Age]]&lt;=35,"26-35",credit[[#This Row],[Age]]&lt;=45,"36-45",credit[[#This Row],[Age]]&lt;=60,"46-60",TRUE,"60+")</f>
        <v>46-60</v>
      </c>
      <c r="C96" t="s">
        <v>9</v>
      </c>
      <c r="D96">
        <v>2</v>
      </c>
      <c r="E96" t="s">
        <v>10</v>
      </c>
      <c r="F96" t="s">
        <v>22</v>
      </c>
      <c r="G96" t="s">
        <v>15</v>
      </c>
      <c r="H96">
        <v>1318</v>
      </c>
      <c r="I96">
        <v>12</v>
      </c>
      <c r="J96" t="s">
        <v>19</v>
      </c>
      <c r="K96" t="str">
        <f>IF(AND(credit[[#This Row],[Credit amount]]&gt;9000,credit[[#This Row],[Saving accounts]]="little"),"High","Low")</f>
        <v>Low</v>
      </c>
    </row>
    <row r="97" spans="1:11" x14ac:dyDescent="0.25">
      <c r="A97">
        <v>58</v>
      </c>
      <c r="B97" s="13" t="str" cm="1">
        <f t="array" ref="B97">_xlfn.IFS(credit[[#This Row],[Age]]&lt;=25,"18-25",credit[[#This Row],[Age]]&lt;=35,"26-35",credit[[#This Row],[Age]]&lt;=45,"36-45",credit[[#This Row],[Age]]&lt;=60,"46-60",TRUE,"60+")</f>
        <v>46-60</v>
      </c>
      <c r="C97" t="s">
        <v>9</v>
      </c>
      <c r="D97">
        <v>2</v>
      </c>
      <c r="E97" t="s">
        <v>21</v>
      </c>
      <c r="F97" t="s">
        <v>12</v>
      </c>
      <c r="G97" t="s">
        <v>15</v>
      </c>
      <c r="H97">
        <v>15945</v>
      </c>
      <c r="I97">
        <v>54</v>
      </c>
      <c r="J97" t="s">
        <v>23</v>
      </c>
      <c r="K97" t="str">
        <f>IF(AND(credit[[#This Row],[Credit amount]]&gt;9000,credit[[#This Row],[Saving accounts]]="little"),"High","Low")</f>
        <v>High</v>
      </c>
    </row>
    <row r="98" spans="1:11" x14ac:dyDescent="0.25">
      <c r="A98">
        <v>61</v>
      </c>
      <c r="B98" s="13" t="str" cm="1">
        <f t="array" ref="B98">_xlfn.IFS(credit[[#This Row],[Age]]&lt;=25,"18-25",credit[[#This Row],[Age]]&lt;=35,"26-35",credit[[#This Row],[Age]]&lt;=45,"36-45",credit[[#This Row],[Age]]&lt;=60,"46-60",TRUE,"60+")</f>
        <v>60+</v>
      </c>
      <c r="C98" t="s">
        <v>14</v>
      </c>
      <c r="D98">
        <v>2</v>
      </c>
      <c r="E98" t="s">
        <v>10</v>
      </c>
      <c r="F98" t="s">
        <v>11</v>
      </c>
      <c r="G98" t="s">
        <v>11</v>
      </c>
      <c r="H98">
        <v>2012</v>
      </c>
      <c r="I98">
        <v>12</v>
      </c>
      <c r="J98" t="s">
        <v>16</v>
      </c>
      <c r="K98" t="str">
        <f>IF(AND(credit[[#This Row],[Credit amount]]&gt;9000,credit[[#This Row],[Saving accounts]]="little"),"High","Low")</f>
        <v>Low</v>
      </c>
    </row>
    <row r="99" spans="1:11" x14ac:dyDescent="0.25">
      <c r="A99">
        <v>34</v>
      </c>
      <c r="B99" s="13" t="str" cm="1">
        <f t="array" ref="B99">_xlfn.IFS(credit[[#This Row],[Age]]&lt;=25,"18-25",credit[[#This Row],[Age]]&lt;=35,"26-35",credit[[#This Row],[Age]]&lt;=45,"36-45",credit[[#This Row],[Age]]&lt;=60,"46-60",TRUE,"60+")</f>
        <v>26-35</v>
      </c>
      <c r="C99" t="s">
        <v>9</v>
      </c>
      <c r="D99">
        <v>2</v>
      </c>
      <c r="E99" t="s">
        <v>10</v>
      </c>
      <c r="F99" t="s">
        <v>15</v>
      </c>
      <c r="G99" t="s">
        <v>15</v>
      </c>
      <c r="H99">
        <v>2622</v>
      </c>
      <c r="I99">
        <v>18</v>
      </c>
      <c r="J99" t="s">
        <v>23</v>
      </c>
      <c r="K99" t="str">
        <f>IF(AND(credit[[#This Row],[Credit amount]]&gt;9000,credit[[#This Row],[Saving accounts]]="little"),"High","Low")</f>
        <v>Low</v>
      </c>
    </row>
    <row r="100" spans="1:11" x14ac:dyDescent="0.25">
      <c r="A100">
        <v>36</v>
      </c>
      <c r="B100" s="13" t="str" cm="1">
        <f t="array" ref="B100">_xlfn.IFS(credit[[#This Row],[Age]]&lt;=25,"18-25",credit[[#This Row],[Age]]&lt;=35,"26-35",credit[[#This Row],[Age]]&lt;=45,"36-45",credit[[#This Row],[Age]]&lt;=60,"46-60",TRUE,"60+")</f>
        <v>36-45</v>
      </c>
      <c r="C100" t="s">
        <v>9</v>
      </c>
      <c r="D100">
        <v>2</v>
      </c>
      <c r="E100" t="s">
        <v>10</v>
      </c>
      <c r="F100" t="s">
        <v>12</v>
      </c>
      <c r="G100" t="s">
        <v>15</v>
      </c>
      <c r="H100">
        <v>2337</v>
      </c>
      <c r="I100">
        <v>36</v>
      </c>
      <c r="J100" t="s">
        <v>13</v>
      </c>
      <c r="K100" t="str">
        <f>IF(AND(credit[[#This Row],[Credit amount]]&gt;9000,credit[[#This Row],[Saving accounts]]="little"),"High","Low")</f>
        <v>Low</v>
      </c>
    </row>
    <row r="101" spans="1:11" x14ac:dyDescent="0.25">
      <c r="A101">
        <v>36</v>
      </c>
      <c r="B101" s="13" t="str" cm="1">
        <f t="array" ref="B101">_xlfn.IFS(credit[[#This Row],[Age]]&lt;=25,"18-25",credit[[#This Row],[Age]]&lt;=35,"26-35",credit[[#This Row],[Age]]&lt;=45,"36-45",credit[[#This Row],[Age]]&lt;=60,"46-60",TRUE,"60+")</f>
        <v>36-45</v>
      </c>
      <c r="C101" t="s">
        <v>9</v>
      </c>
      <c r="D101">
        <v>3</v>
      </c>
      <c r="E101" t="s">
        <v>21</v>
      </c>
      <c r="F101" t="s">
        <v>11</v>
      </c>
      <c r="G101" t="s">
        <v>15</v>
      </c>
      <c r="H101">
        <v>7057</v>
      </c>
      <c r="I101">
        <v>20</v>
      </c>
      <c r="J101" t="s">
        <v>19</v>
      </c>
      <c r="K101" t="str">
        <f>IF(AND(credit[[#This Row],[Credit amount]]&gt;9000,credit[[#This Row],[Saving accounts]]="little"),"High","Low")</f>
        <v>Low</v>
      </c>
    </row>
    <row r="102" spans="1:11" x14ac:dyDescent="0.25">
      <c r="A102">
        <v>41</v>
      </c>
      <c r="B102" s="13" t="str" cm="1">
        <f t="array" ref="B102">_xlfn.IFS(credit[[#This Row],[Age]]&lt;=25,"18-25",credit[[#This Row],[Age]]&lt;=35,"26-35",credit[[#This Row],[Age]]&lt;=45,"36-45",credit[[#This Row],[Age]]&lt;=60,"46-60",TRUE,"60+")</f>
        <v>36-45</v>
      </c>
      <c r="C102" t="s">
        <v>9</v>
      </c>
      <c r="D102">
        <v>1</v>
      </c>
      <c r="E102" t="s">
        <v>21</v>
      </c>
      <c r="F102" t="s">
        <v>15</v>
      </c>
      <c r="G102" t="s">
        <v>11</v>
      </c>
      <c r="H102">
        <v>1469</v>
      </c>
      <c r="I102">
        <v>24</v>
      </c>
      <c r="J102" t="s">
        <v>19</v>
      </c>
      <c r="K102" t="str">
        <f>IF(AND(credit[[#This Row],[Credit amount]]&gt;9000,credit[[#This Row],[Saving accounts]]="little"),"High","Low")</f>
        <v>Low</v>
      </c>
    </row>
    <row r="103" spans="1:11" x14ac:dyDescent="0.25">
      <c r="A103">
        <v>24</v>
      </c>
      <c r="B103" s="13" t="str" cm="1">
        <f t="array" ref="B103">_xlfn.IFS(credit[[#This Row],[Age]]&lt;=25,"18-25",credit[[#This Row],[Age]]&lt;=35,"26-35",credit[[#This Row],[Age]]&lt;=45,"36-45",credit[[#This Row],[Age]]&lt;=60,"46-60",TRUE,"60+")</f>
        <v>18-25</v>
      </c>
      <c r="C103" t="s">
        <v>9</v>
      </c>
      <c r="D103">
        <v>2</v>
      </c>
      <c r="E103" t="s">
        <v>21</v>
      </c>
      <c r="F103" t="s">
        <v>12</v>
      </c>
      <c r="G103" t="s">
        <v>15</v>
      </c>
      <c r="H103">
        <v>2323</v>
      </c>
      <c r="I103">
        <v>36</v>
      </c>
      <c r="J103" t="s">
        <v>13</v>
      </c>
      <c r="K103" t="str">
        <f>IF(AND(credit[[#This Row],[Credit amount]]&gt;9000,credit[[#This Row],[Saving accounts]]="little"),"High","Low")</f>
        <v>Low</v>
      </c>
    </row>
    <row r="104" spans="1:11" x14ac:dyDescent="0.25">
      <c r="A104">
        <v>24</v>
      </c>
      <c r="B104" s="13" t="str" cm="1">
        <f t="array" ref="B104">_xlfn.IFS(credit[[#This Row],[Age]]&lt;=25,"18-25",credit[[#This Row],[Age]]&lt;=35,"26-35",credit[[#This Row],[Age]]&lt;=45,"36-45",credit[[#This Row],[Age]]&lt;=60,"46-60",TRUE,"60+")</f>
        <v>18-25</v>
      </c>
      <c r="C104" t="s">
        <v>14</v>
      </c>
      <c r="D104">
        <v>2</v>
      </c>
      <c r="E104" t="s">
        <v>10</v>
      </c>
      <c r="F104" t="s">
        <v>12</v>
      </c>
      <c r="G104" t="s">
        <v>11</v>
      </c>
      <c r="H104">
        <v>932</v>
      </c>
      <c r="I104">
        <v>6</v>
      </c>
      <c r="J104" t="s">
        <v>13</v>
      </c>
      <c r="K104" t="str">
        <f>IF(AND(credit[[#This Row],[Credit amount]]&gt;9000,credit[[#This Row],[Saving accounts]]="little"),"High","Low")</f>
        <v>Low</v>
      </c>
    </row>
    <row r="105" spans="1:11" x14ac:dyDescent="0.25">
      <c r="A105">
        <v>35</v>
      </c>
      <c r="B105" s="13" t="str" cm="1">
        <f t="array" ref="B105">_xlfn.IFS(credit[[#This Row],[Age]]&lt;=25,"18-25",credit[[#This Row],[Age]]&lt;=35,"26-35",credit[[#This Row],[Age]]&lt;=45,"36-45",credit[[#This Row],[Age]]&lt;=60,"46-60",TRUE,"60+")</f>
        <v>26-35</v>
      </c>
      <c r="C105" t="s">
        <v>9</v>
      </c>
      <c r="D105">
        <v>2</v>
      </c>
      <c r="E105" t="s">
        <v>21</v>
      </c>
      <c r="F105" t="s">
        <v>12</v>
      </c>
      <c r="G105" t="s">
        <v>15</v>
      </c>
      <c r="H105">
        <v>1919</v>
      </c>
      <c r="I105">
        <v>9</v>
      </c>
      <c r="J105" t="s">
        <v>18</v>
      </c>
      <c r="K105" t="str">
        <f>IF(AND(credit[[#This Row],[Credit amount]]&gt;9000,credit[[#This Row],[Saving accounts]]="little"),"High","Low")</f>
        <v>Low</v>
      </c>
    </row>
    <row r="106" spans="1:11" x14ac:dyDescent="0.25">
      <c r="A106">
        <v>26</v>
      </c>
      <c r="B106" s="13" t="str" cm="1">
        <f t="array" ref="B106">_xlfn.IFS(credit[[#This Row],[Age]]&lt;=25,"18-25",credit[[#This Row],[Age]]&lt;=35,"26-35",credit[[#This Row],[Age]]&lt;=45,"36-45",credit[[#This Row],[Age]]&lt;=60,"46-60",TRUE,"60+")</f>
        <v>26-35</v>
      </c>
      <c r="C106" t="s">
        <v>9</v>
      </c>
      <c r="D106">
        <v>2</v>
      </c>
      <c r="E106" t="s">
        <v>21</v>
      </c>
      <c r="F106" t="s">
        <v>11</v>
      </c>
      <c r="G106" t="s">
        <v>11</v>
      </c>
      <c r="H106">
        <v>2445</v>
      </c>
      <c r="I106">
        <v>12</v>
      </c>
      <c r="J106" t="s">
        <v>19</v>
      </c>
      <c r="K106" t="str">
        <f>IF(AND(credit[[#This Row],[Credit amount]]&gt;9000,credit[[#This Row],[Saving accounts]]="little"),"High","Low")</f>
        <v>Low</v>
      </c>
    </row>
    <row r="107" spans="1:11" x14ac:dyDescent="0.25">
      <c r="A107">
        <v>39</v>
      </c>
      <c r="B107" s="13" t="str" cm="1">
        <f t="array" ref="B107">_xlfn.IFS(credit[[#This Row],[Age]]&lt;=25,"18-25",credit[[#This Row],[Age]]&lt;=35,"26-35",credit[[#This Row],[Age]]&lt;=45,"36-45",credit[[#This Row],[Age]]&lt;=60,"46-60",TRUE,"60+")</f>
        <v>36-45</v>
      </c>
      <c r="C107" t="s">
        <v>9</v>
      </c>
      <c r="D107">
        <v>3</v>
      </c>
      <c r="E107" t="s">
        <v>10</v>
      </c>
      <c r="F107" t="s">
        <v>12</v>
      </c>
      <c r="G107" t="s">
        <v>15</v>
      </c>
      <c r="H107">
        <v>11938</v>
      </c>
      <c r="I107">
        <v>24</v>
      </c>
      <c r="J107" t="s">
        <v>26</v>
      </c>
      <c r="K107" t="str">
        <f>IF(AND(credit[[#This Row],[Credit amount]]&gt;9000,credit[[#This Row],[Saving accounts]]="little"),"High","Low")</f>
        <v>High</v>
      </c>
    </row>
    <row r="108" spans="1:11" x14ac:dyDescent="0.25">
      <c r="A108">
        <v>39</v>
      </c>
      <c r="B108" s="13" t="str" cm="1">
        <f t="array" ref="B108">_xlfn.IFS(credit[[#This Row],[Age]]&lt;=25,"18-25",credit[[#This Row],[Age]]&lt;=35,"26-35",credit[[#This Row],[Age]]&lt;=45,"36-45",credit[[#This Row],[Age]]&lt;=60,"46-60",TRUE,"60+")</f>
        <v>36-45</v>
      </c>
      <c r="C108" t="s">
        <v>9</v>
      </c>
      <c r="D108">
        <v>3</v>
      </c>
      <c r="E108" t="s">
        <v>10</v>
      </c>
      <c r="F108" t="s">
        <v>12</v>
      </c>
      <c r="G108" t="s">
        <v>11</v>
      </c>
      <c r="H108">
        <v>6458</v>
      </c>
      <c r="I108">
        <v>18</v>
      </c>
      <c r="J108" t="s">
        <v>19</v>
      </c>
      <c r="K108" t="str">
        <f>IF(AND(credit[[#This Row],[Credit amount]]&gt;9000,credit[[#This Row],[Saving accounts]]="little"),"High","Low")</f>
        <v>Low</v>
      </c>
    </row>
    <row r="109" spans="1:11" x14ac:dyDescent="0.25">
      <c r="A109">
        <v>32</v>
      </c>
      <c r="B109" s="13" t="str" cm="1">
        <f t="array" ref="B109">_xlfn.IFS(credit[[#This Row],[Age]]&lt;=25,"18-25",credit[[#This Row],[Age]]&lt;=35,"26-35",credit[[#This Row],[Age]]&lt;=45,"36-45",credit[[#This Row],[Age]]&lt;=60,"46-60",TRUE,"60+")</f>
        <v>26-35</v>
      </c>
      <c r="C109" t="s">
        <v>9</v>
      </c>
      <c r="D109">
        <v>2</v>
      </c>
      <c r="E109" t="s">
        <v>10</v>
      </c>
      <c r="F109" t="s">
        <v>12</v>
      </c>
      <c r="G109" t="s">
        <v>15</v>
      </c>
      <c r="H109">
        <v>6078</v>
      </c>
      <c r="I109">
        <v>12</v>
      </c>
      <c r="J109" t="s">
        <v>19</v>
      </c>
      <c r="K109" t="str">
        <f>IF(AND(credit[[#This Row],[Credit amount]]&gt;9000,credit[[#This Row],[Saving accounts]]="little"),"High","Low")</f>
        <v>Low</v>
      </c>
    </row>
    <row r="110" spans="1:11" x14ac:dyDescent="0.25">
      <c r="A110">
        <v>30</v>
      </c>
      <c r="B110" s="13" t="str" cm="1">
        <f t="array" ref="B110">_xlfn.IFS(credit[[#This Row],[Age]]&lt;=25,"18-25",credit[[#This Row],[Age]]&lt;=35,"26-35",credit[[#This Row],[Age]]&lt;=45,"36-45",credit[[#This Row],[Age]]&lt;=60,"46-60",TRUE,"60+")</f>
        <v>26-35</v>
      </c>
      <c r="C110" t="s">
        <v>14</v>
      </c>
      <c r="D110">
        <v>2</v>
      </c>
      <c r="E110" t="s">
        <v>10</v>
      </c>
      <c r="F110" t="s">
        <v>11</v>
      </c>
      <c r="G110" t="s">
        <v>12</v>
      </c>
      <c r="H110">
        <v>7721</v>
      </c>
      <c r="I110">
        <v>24</v>
      </c>
      <c r="J110" t="s">
        <v>18</v>
      </c>
      <c r="K110" t="str">
        <f>IF(AND(credit[[#This Row],[Credit amount]]&gt;9000,credit[[#This Row],[Saving accounts]]="little"),"High","Low")</f>
        <v>Low</v>
      </c>
    </row>
    <row r="111" spans="1:11" x14ac:dyDescent="0.25">
      <c r="A111">
        <v>35</v>
      </c>
      <c r="B111" s="13" t="str" cm="1">
        <f t="array" ref="B111">_xlfn.IFS(credit[[#This Row],[Age]]&lt;=25,"18-25",credit[[#This Row],[Age]]&lt;=35,"26-35",credit[[#This Row],[Age]]&lt;=45,"36-45",credit[[#This Row],[Age]]&lt;=60,"46-60",TRUE,"60+")</f>
        <v>26-35</v>
      </c>
      <c r="C111" t="s">
        <v>9</v>
      </c>
      <c r="D111">
        <v>2</v>
      </c>
      <c r="E111" t="s">
        <v>10</v>
      </c>
      <c r="F111" t="s">
        <v>20</v>
      </c>
      <c r="G111" t="s">
        <v>15</v>
      </c>
      <c r="H111">
        <v>1410</v>
      </c>
      <c r="I111">
        <v>14</v>
      </c>
      <c r="J111" t="s">
        <v>23</v>
      </c>
      <c r="K111" t="str">
        <f>IF(AND(credit[[#This Row],[Credit amount]]&gt;9000,credit[[#This Row],[Saving accounts]]="little"),"High","Low")</f>
        <v>Low</v>
      </c>
    </row>
    <row r="112" spans="1:11" x14ac:dyDescent="0.25">
      <c r="A112">
        <v>31</v>
      </c>
      <c r="B112" s="13" t="str" cm="1">
        <f t="array" ref="B112">_xlfn.IFS(credit[[#This Row],[Age]]&lt;=25,"18-25",credit[[#This Row],[Age]]&lt;=35,"26-35",credit[[#This Row],[Age]]&lt;=45,"36-45",credit[[#This Row],[Age]]&lt;=60,"46-60",TRUE,"60+")</f>
        <v>26-35</v>
      </c>
      <c r="C112" t="s">
        <v>9</v>
      </c>
      <c r="D112">
        <v>2</v>
      </c>
      <c r="E112" t="s">
        <v>10</v>
      </c>
      <c r="F112" t="s">
        <v>15</v>
      </c>
      <c r="G112" t="s">
        <v>15</v>
      </c>
      <c r="H112">
        <v>1449</v>
      </c>
      <c r="I112">
        <v>6</v>
      </c>
      <c r="J112" t="s">
        <v>23</v>
      </c>
      <c r="K112" t="str">
        <f>IF(AND(credit[[#This Row],[Credit amount]]&gt;9000,credit[[#This Row],[Saving accounts]]="little"),"High","Low")</f>
        <v>Low</v>
      </c>
    </row>
    <row r="113" spans="1:11" x14ac:dyDescent="0.25">
      <c r="A113">
        <v>23</v>
      </c>
      <c r="B113" s="13" t="str" cm="1">
        <f t="array" ref="B113">_xlfn.IFS(credit[[#This Row],[Age]]&lt;=25,"18-25",credit[[#This Row],[Age]]&lt;=35,"26-35",credit[[#This Row],[Age]]&lt;=45,"36-45",credit[[#This Row],[Age]]&lt;=60,"46-60",TRUE,"60+")</f>
        <v>18-25</v>
      </c>
      <c r="C113" t="s">
        <v>14</v>
      </c>
      <c r="D113">
        <v>2</v>
      </c>
      <c r="E113" t="s">
        <v>21</v>
      </c>
      <c r="F113" t="s">
        <v>12</v>
      </c>
      <c r="G113" t="s">
        <v>22</v>
      </c>
      <c r="H113">
        <v>392</v>
      </c>
      <c r="I113">
        <v>15</v>
      </c>
      <c r="J113" t="s">
        <v>16</v>
      </c>
      <c r="K113" t="str">
        <f>IF(AND(credit[[#This Row],[Credit amount]]&gt;9000,credit[[#This Row],[Saving accounts]]="little"),"High","Low")</f>
        <v>Low</v>
      </c>
    </row>
    <row r="114" spans="1:11" x14ac:dyDescent="0.25">
      <c r="A114">
        <v>28</v>
      </c>
      <c r="B114" s="13" t="str" cm="1">
        <f t="array" ref="B114">_xlfn.IFS(credit[[#This Row],[Age]]&lt;=25,"18-25",credit[[#This Row],[Age]]&lt;=35,"26-35",credit[[#This Row],[Age]]&lt;=45,"36-45",credit[[#This Row],[Age]]&lt;=60,"46-60",TRUE,"60+")</f>
        <v>26-35</v>
      </c>
      <c r="C114" t="s">
        <v>9</v>
      </c>
      <c r="D114">
        <v>1</v>
      </c>
      <c r="E114" t="s">
        <v>21</v>
      </c>
      <c r="F114" t="s">
        <v>12</v>
      </c>
      <c r="G114" t="s">
        <v>15</v>
      </c>
      <c r="H114">
        <v>6260</v>
      </c>
      <c r="I114">
        <v>18</v>
      </c>
      <c r="J114" t="s">
        <v>19</v>
      </c>
      <c r="K114" t="str">
        <f>IF(AND(credit[[#This Row],[Credit amount]]&gt;9000,credit[[#This Row],[Saving accounts]]="little"),"High","Low")</f>
        <v>Low</v>
      </c>
    </row>
    <row r="115" spans="1:11" x14ac:dyDescent="0.25">
      <c r="A115">
        <v>25</v>
      </c>
      <c r="B115" s="13" t="str" cm="1">
        <f t="array" ref="B115">_xlfn.IFS(credit[[#This Row],[Age]]&lt;=25,"18-25",credit[[#This Row],[Age]]&lt;=35,"26-35",credit[[#This Row],[Age]]&lt;=45,"36-45",credit[[#This Row],[Age]]&lt;=60,"46-60",TRUE,"60+")</f>
        <v>18-25</v>
      </c>
      <c r="C115" t="s">
        <v>14</v>
      </c>
      <c r="D115">
        <v>2</v>
      </c>
      <c r="E115" t="s">
        <v>10</v>
      </c>
      <c r="F115" t="s">
        <v>12</v>
      </c>
      <c r="G115" t="s">
        <v>11</v>
      </c>
      <c r="H115">
        <v>7855</v>
      </c>
      <c r="I115">
        <v>36</v>
      </c>
      <c r="J115" t="s">
        <v>19</v>
      </c>
      <c r="K115" t="str">
        <f>IF(AND(credit[[#This Row],[Credit amount]]&gt;9000,credit[[#This Row],[Saving accounts]]="little"),"High","Low")</f>
        <v>Low</v>
      </c>
    </row>
    <row r="116" spans="1:11" x14ac:dyDescent="0.25">
      <c r="A116">
        <v>35</v>
      </c>
      <c r="B116" s="13" t="str" cm="1">
        <f t="array" ref="B116">_xlfn.IFS(credit[[#This Row],[Age]]&lt;=25,"18-25",credit[[#This Row],[Age]]&lt;=35,"26-35",credit[[#This Row],[Age]]&lt;=45,"36-45",credit[[#This Row],[Age]]&lt;=60,"46-60",TRUE,"60+")</f>
        <v>26-35</v>
      </c>
      <c r="C116" t="s">
        <v>9</v>
      </c>
      <c r="D116">
        <v>2</v>
      </c>
      <c r="E116" t="s">
        <v>10</v>
      </c>
      <c r="F116" t="s">
        <v>20</v>
      </c>
      <c r="G116" t="s">
        <v>12</v>
      </c>
      <c r="H116">
        <v>1680</v>
      </c>
      <c r="I116">
        <v>12</v>
      </c>
      <c r="J116" t="s">
        <v>13</v>
      </c>
      <c r="K116" t="str">
        <f>IF(AND(credit[[#This Row],[Credit amount]]&gt;9000,credit[[#This Row],[Saving accounts]]="little"),"High","Low")</f>
        <v>Low</v>
      </c>
    </row>
    <row r="117" spans="1:11" x14ac:dyDescent="0.25">
      <c r="A117">
        <v>47</v>
      </c>
      <c r="B117" s="13" t="str" cm="1">
        <f t="array" ref="B117">_xlfn.IFS(credit[[#This Row],[Age]]&lt;=25,"18-25",credit[[#This Row],[Age]]&lt;=35,"26-35",credit[[#This Row],[Age]]&lt;=45,"36-45",credit[[#This Row],[Age]]&lt;=60,"46-60",TRUE,"60+")</f>
        <v>46-60</v>
      </c>
      <c r="C117" t="s">
        <v>9</v>
      </c>
      <c r="D117">
        <v>2</v>
      </c>
      <c r="E117" t="s">
        <v>10</v>
      </c>
      <c r="F117" t="s">
        <v>11</v>
      </c>
      <c r="G117" t="s">
        <v>11</v>
      </c>
      <c r="H117">
        <v>3578</v>
      </c>
      <c r="I117">
        <v>48</v>
      </c>
      <c r="J117" t="s">
        <v>13</v>
      </c>
      <c r="K117" t="str">
        <f>IF(AND(credit[[#This Row],[Credit amount]]&gt;9000,credit[[#This Row],[Saving accounts]]="little"),"High","Low")</f>
        <v>Low</v>
      </c>
    </row>
    <row r="118" spans="1:11" x14ac:dyDescent="0.25">
      <c r="A118">
        <v>30</v>
      </c>
      <c r="B118" s="13" t="str" cm="1">
        <f t="array" ref="B118">_xlfn.IFS(credit[[#This Row],[Age]]&lt;=25,"18-25",credit[[#This Row],[Age]]&lt;=35,"26-35",credit[[#This Row],[Age]]&lt;=45,"36-45",credit[[#This Row],[Age]]&lt;=60,"46-60",TRUE,"60+")</f>
        <v>26-35</v>
      </c>
      <c r="C118" t="s">
        <v>14</v>
      </c>
      <c r="D118">
        <v>3</v>
      </c>
      <c r="E118" t="s">
        <v>10</v>
      </c>
      <c r="F118" t="s">
        <v>11</v>
      </c>
      <c r="G118" t="s">
        <v>12</v>
      </c>
      <c r="H118">
        <v>7174</v>
      </c>
      <c r="I118">
        <v>42</v>
      </c>
      <c r="J118" t="s">
        <v>13</v>
      </c>
      <c r="K118" t="str">
        <f>IF(AND(credit[[#This Row],[Credit amount]]&gt;9000,credit[[#This Row],[Saving accounts]]="little"),"High","Low")</f>
        <v>Low</v>
      </c>
    </row>
    <row r="119" spans="1:11" x14ac:dyDescent="0.25">
      <c r="A119">
        <v>27</v>
      </c>
      <c r="B119" s="13" t="str" cm="1">
        <f t="array" ref="B119">_xlfn.IFS(credit[[#This Row],[Age]]&lt;=25,"18-25",credit[[#This Row],[Age]]&lt;=35,"26-35",credit[[#This Row],[Age]]&lt;=45,"36-45",credit[[#This Row],[Age]]&lt;=60,"46-60",TRUE,"60+")</f>
        <v>26-35</v>
      </c>
      <c r="C119" t="s">
        <v>14</v>
      </c>
      <c r="D119">
        <v>2</v>
      </c>
      <c r="E119" t="s">
        <v>21</v>
      </c>
      <c r="F119" t="s">
        <v>11</v>
      </c>
      <c r="G119" t="s">
        <v>12</v>
      </c>
      <c r="H119">
        <v>2132</v>
      </c>
      <c r="I119">
        <v>10</v>
      </c>
      <c r="J119" t="s">
        <v>18</v>
      </c>
      <c r="K119" t="str">
        <f>IF(AND(credit[[#This Row],[Credit amount]]&gt;9000,credit[[#This Row],[Saving accounts]]="little"),"High","Low")</f>
        <v>Low</v>
      </c>
    </row>
    <row r="120" spans="1:11" x14ac:dyDescent="0.25">
      <c r="A120">
        <v>23</v>
      </c>
      <c r="B120" s="13" t="str" cm="1">
        <f t="array" ref="B120">_xlfn.IFS(credit[[#This Row],[Age]]&lt;=25,"18-25",credit[[#This Row],[Age]]&lt;=35,"26-35",credit[[#This Row],[Age]]&lt;=45,"36-45",credit[[#This Row],[Age]]&lt;=60,"46-60",TRUE,"60+")</f>
        <v>18-25</v>
      </c>
      <c r="C120" t="s">
        <v>14</v>
      </c>
      <c r="D120">
        <v>2</v>
      </c>
      <c r="E120" t="s">
        <v>10</v>
      </c>
      <c r="F120" t="s">
        <v>20</v>
      </c>
      <c r="G120" t="s">
        <v>12</v>
      </c>
      <c r="H120">
        <v>4281</v>
      </c>
      <c r="I120">
        <v>33</v>
      </c>
      <c r="J120" t="s">
        <v>18</v>
      </c>
      <c r="K120" t="str">
        <f>IF(AND(credit[[#This Row],[Credit amount]]&gt;9000,credit[[#This Row],[Saving accounts]]="little"),"High","Low")</f>
        <v>Low</v>
      </c>
    </row>
    <row r="121" spans="1:11" x14ac:dyDescent="0.25">
      <c r="A121">
        <v>36</v>
      </c>
      <c r="B121" s="13" t="str" cm="1">
        <f t="array" ref="B121">_xlfn.IFS(credit[[#This Row],[Age]]&lt;=25,"18-25",credit[[#This Row],[Age]]&lt;=35,"26-35",credit[[#This Row],[Age]]&lt;=45,"36-45",credit[[#This Row],[Age]]&lt;=60,"46-60",TRUE,"60+")</f>
        <v>36-45</v>
      </c>
      <c r="C121" t="s">
        <v>9</v>
      </c>
      <c r="D121">
        <v>3</v>
      </c>
      <c r="E121" t="s">
        <v>10</v>
      </c>
      <c r="F121" t="s">
        <v>20</v>
      </c>
      <c r="G121" t="s">
        <v>15</v>
      </c>
      <c r="H121">
        <v>2366</v>
      </c>
      <c r="I121">
        <v>12</v>
      </c>
      <c r="J121" t="s">
        <v>19</v>
      </c>
      <c r="K121" t="str">
        <f>IF(AND(credit[[#This Row],[Credit amount]]&gt;9000,credit[[#This Row],[Saving accounts]]="little"),"High","Low")</f>
        <v>Low</v>
      </c>
    </row>
    <row r="122" spans="1:11" x14ac:dyDescent="0.25">
      <c r="A122">
        <v>25</v>
      </c>
      <c r="B122" s="13" t="str" cm="1">
        <f t="array" ref="B122">_xlfn.IFS(credit[[#This Row],[Age]]&lt;=25,"18-25",credit[[#This Row],[Age]]&lt;=35,"26-35",credit[[#This Row],[Age]]&lt;=45,"36-45",credit[[#This Row],[Age]]&lt;=60,"46-60",TRUE,"60+")</f>
        <v>18-25</v>
      </c>
      <c r="C122" t="s">
        <v>14</v>
      </c>
      <c r="D122">
        <v>2</v>
      </c>
      <c r="E122" t="s">
        <v>10</v>
      </c>
      <c r="F122" t="s">
        <v>12</v>
      </c>
      <c r="G122" t="s">
        <v>12</v>
      </c>
      <c r="H122">
        <v>1835</v>
      </c>
      <c r="I122">
        <v>21</v>
      </c>
      <c r="J122" t="s">
        <v>13</v>
      </c>
      <c r="K122" t="str">
        <f>IF(AND(credit[[#This Row],[Credit amount]]&gt;9000,credit[[#This Row],[Saving accounts]]="little"),"High","Low")</f>
        <v>Low</v>
      </c>
    </row>
    <row r="123" spans="1:11" x14ac:dyDescent="0.25">
      <c r="A123">
        <v>41</v>
      </c>
      <c r="B123" s="13" t="str" cm="1">
        <f t="array" ref="B123">_xlfn.IFS(credit[[#This Row],[Age]]&lt;=25,"18-25",credit[[#This Row],[Age]]&lt;=35,"26-35",credit[[#This Row],[Age]]&lt;=45,"36-45",credit[[#This Row],[Age]]&lt;=60,"46-60",TRUE,"60+")</f>
        <v>36-45</v>
      </c>
      <c r="C123" t="s">
        <v>14</v>
      </c>
      <c r="D123">
        <v>3</v>
      </c>
      <c r="E123" t="s">
        <v>21</v>
      </c>
      <c r="F123" t="s">
        <v>12</v>
      </c>
      <c r="G123" t="s">
        <v>11</v>
      </c>
      <c r="H123">
        <v>3868</v>
      </c>
      <c r="I123">
        <v>24</v>
      </c>
      <c r="J123" t="s">
        <v>19</v>
      </c>
      <c r="K123" t="str">
        <f>IF(AND(credit[[#This Row],[Credit amount]]&gt;9000,credit[[#This Row],[Saving accounts]]="little"),"High","Low")</f>
        <v>Low</v>
      </c>
    </row>
    <row r="124" spans="1:11" x14ac:dyDescent="0.25">
      <c r="A124">
        <v>24</v>
      </c>
      <c r="B124" s="13" t="str" cm="1">
        <f t="array" ref="B124">_xlfn.IFS(credit[[#This Row],[Age]]&lt;=25,"18-25",credit[[#This Row],[Age]]&lt;=35,"26-35",credit[[#This Row],[Age]]&lt;=45,"36-45",credit[[#This Row],[Age]]&lt;=60,"46-60",TRUE,"60+")</f>
        <v>18-25</v>
      </c>
      <c r="C124" t="s">
        <v>9</v>
      </c>
      <c r="D124">
        <v>1</v>
      </c>
      <c r="E124" t="s">
        <v>21</v>
      </c>
      <c r="F124" t="s">
        <v>12</v>
      </c>
      <c r="G124" t="s">
        <v>11</v>
      </c>
      <c r="H124">
        <v>1768</v>
      </c>
      <c r="I124">
        <v>12</v>
      </c>
      <c r="J124" t="s">
        <v>18</v>
      </c>
      <c r="K124" t="str">
        <f>IF(AND(credit[[#This Row],[Credit amount]]&gt;9000,credit[[#This Row],[Saving accounts]]="little"),"High","Low")</f>
        <v>Low</v>
      </c>
    </row>
    <row r="125" spans="1:11" x14ac:dyDescent="0.25">
      <c r="A125">
        <v>63</v>
      </c>
      <c r="B125" s="13" t="str" cm="1">
        <f t="array" ref="B125">_xlfn.IFS(credit[[#This Row],[Age]]&lt;=25,"18-25",credit[[#This Row],[Age]]&lt;=35,"26-35",credit[[#This Row],[Age]]&lt;=45,"36-45",credit[[#This Row],[Age]]&lt;=60,"46-60",TRUE,"60+")</f>
        <v>60+</v>
      </c>
      <c r="C125" t="s">
        <v>9</v>
      </c>
      <c r="D125">
        <v>2</v>
      </c>
      <c r="E125" t="s">
        <v>17</v>
      </c>
      <c r="F125" t="s">
        <v>12</v>
      </c>
      <c r="G125" t="s">
        <v>22</v>
      </c>
      <c r="H125">
        <v>781</v>
      </c>
      <c r="I125">
        <v>10</v>
      </c>
      <c r="J125" t="s">
        <v>19</v>
      </c>
      <c r="K125" t="str">
        <f>IF(AND(credit[[#This Row],[Credit amount]]&gt;9000,credit[[#This Row],[Saving accounts]]="little"),"High","Low")</f>
        <v>Low</v>
      </c>
    </row>
    <row r="126" spans="1:11" x14ac:dyDescent="0.25">
      <c r="A126">
        <v>27</v>
      </c>
      <c r="B126" s="13" t="str" cm="1">
        <f t="array" ref="B126">_xlfn.IFS(credit[[#This Row],[Age]]&lt;=25,"18-25",credit[[#This Row],[Age]]&lt;=35,"26-35",credit[[#This Row],[Age]]&lt;=45,"36-45",credit[[#This Row],[Age]]&lt;=60,"46-60",TRUE,"60+")</f>
        <v>26-35</v>
      </c>
      <c r="C126" t="s">
        <v>14</v>
      </c>
      <c r="D126">
        <v>2</v>
      </c>
      <c r="E126" t="s">
        <v>21</v>
      </c>
      <c r="F126" t="s">
        <v>11</v>
      </c>
      <c r="G126" t="s">
        <v>15</v>
      </c>
      <c r="H126">
        <v>1924</v>
      </c>
      <c r="I126">
        <v>18</v>
      </c>
      <c r="J126" t="s">
        <v>18</v>
      </c>
      <c r="K126" t="str">
        <f>IF(AND(credit[[#This Row],[Credit amount]]&gt;9000,credit[[#This Row],[Saving accounts]]="little"),"High","Low")</f>
        <v>Low</v>
      </c>
    </row>
    <row r="127" spans="1:11" x14ac:dyDescent="0.25">
      <c r="A127">
        <v>30</v>
      </c>
      <c r="B127" s="13" t="str" cm="1">
        <f t="array" ref="B127">_xlfn.IFS(credit[[#This Row],[Age]]&lt;=25,"18-25",credit[[#This Row],[Age]]&lt;=35,"26-35",credit[[#This Row],[Age]]&lt;=45,"36-45",credit[[#This Row],[Age]]&lt;=60,"46-60",TRUE,"60+")</f>
        <v>26-35</v>
      </c>
      <c r="C127" t="s">
        <v>9</v>
      </c>
      <c r="D127">
        <v>2</v>
      </c>
      <c r="E127" t="s">
        <v>10</v>
      </c>
      <c r="F127" t="s">
        <v>12</v>
      </c>
      <c r="G127" t="s">
        <v>12</v>
      </c>
      <c r="H127">
        <v>2121</v>
      </c>
      <c r="I127">
        <v>12</v>
      </c>
      <c r="J127" t="s">
        <v>19</v>
      </c>
      <c r="K127" t="str">
        <f>IF(AND(credit[[#This Row],[Credit amount]]&gt;9000,credit[[#This Row],[Saving accounts]]="little"),"High","Low")</f>
        <v>Low</v>
      </c>
    </row>
    <row r="128" spans="1:11" x14ac:dyDescent="0.25">
      <c r="A128">
        <v>40</v>
      </c>
      <c r="B128" s="13" t="str" cm="1">
        <f t="array" ref="B128">_xlfn.IFS(credit[[#This Row],[Age]]&lt;=25,"18-25",credit[[#This Row],[Age]]&lt;=35,"26-35",credit[[#This Row],[Age]]&lt;=45,"36-45",credit[[#This Row],[Age]]&lt;=60,"46-60",TRUE,"60+")</f>
        <v>36-45</v>
      </c>
      <c r="C128" t="s">
        <v>9</v>
      </c>
      <c r="D128">
        <v>1</v>
      </c>
      <c r="E128" t="s">
        <v>10</v>
      </c>
      <c r="F128" t="s">
        <v>12</v>
      </c>
      <c r="G128" t="s">
        <v>12</v>
      </c>
      <c r="H128">
        <v>701</v>
      </c>
      <c r="I128">
        <v>12</v>
      </c>
      <c r="J128" t="s">
        <v>13</v>
      </c>
      <c r="K128" t="str">
        <f>IF(AND(credit[[#This Row],[Credit amount]]&gt;9000,credit[[#This Row],[Saving accounts]]="little"),"High","Low")</f>
        <v>Low</v>
      </c>
    </row>
    <row r="129" spans="1:11" x14ac:dyDescent="0.25">
      <c r="A129">
        <v>30</v>
      </c>
      <c r="B129" s="13" t="str" cm="1">
        <f t="array" ref="B129">_xlfn.IFS(credit[[#This Row],[Age]]&lt;=25,"18-25",credit[[#This Row],[Age]]&lt;=35,"26-35",credit[[#This Row],[Age]]&lt;=45,"36-45",credit[[#This Row],[Age]]&lt;=60,"46-60",TRUE,"60+")</f>
        <v>26-35</v>
      </c>
      <c r="C129" t="s">
        <v>9</v>
      </c>
      <c r="D129">
        <v>2</v>
      </c>
      <c r="E129" t="s">
        <v>10</v>
      </c>
      <c r="F129" t="s">
        <v>12</v>
      </c>
      <c r="G129" t="s">
        <v>15</v>
      </c>
      <c r="H129">
        <v>639</v>
      </c>
      <c r="I129">
        <v>12</v>
      </c>
      <c r="J129" t="s">
        <v>25</v>
      </c>
      <c r="K129" t="str">
        <f>IF(AND(credit[[#This Row],[Credit amount]]&gt;9000,credit[[#This Row],[Saving accounts]]="little"),"High","Low")</f>
        <v>Low</v>
      </c>
    </row>
    <row r="130" spans="1:11" x14ac:dyDescent="0.25">
      <c r="A130">
        <v>34</v>
      </c>
      <c r="B130" s="13" t="str" cm="1">
        <f t="array" ref="B130">_xlfn.IFS(credit[[#This Row],[Age]]&lt;=25,"18-25",credit[[#This Row],[Age]]&lt;=35,"26-35",credit[[#This Row],[Age]]&lt;=45,"36-45",credit[[#This Row],[Age]]&lt;=60,"46-60",TRUE,"60+")</f>
        <v>26-35</v>
      </c>
      <c r="C130" t="s">
        <v>9</v>
      </c>
      <c r="D130">
        <v>3</v>
      </c>
      <c r="E130" t="s">
        <v>10</v>
      </c>
      <c r="F130" t="s">
        <v>12</v>
      </c>
      <c r="G130" t="s">
        <v>15</v>
      </c>
      <c r="H130">
        <v>1860</v>
      </c>
      <c r="I130">
        <v>12</v>
      </c>
      <c r="J130" t="s">
        <v>19</v>
      </c>
      <c r="K130" t="str">
        <f>IF(AND(credit[[#This Row],[Credit amount]]&gt;9000,credit[[#This Row],[Saving accounts]]="little"),"High","Low")</f>
        <v>Low</v>
      </c>
    </row>
    <row r="131" spans="1:11" x14ac:dyDescent="0.25">
      <c r="A131">
        <v>29</v>
      </c>
      <c r="B131" s="13" t="str" cm="1">
        <f t="array" ref="B131">_xlfn.IFS(credit[[#This Row],[Age]]&lt;=25,"18-25",credit[[#This Row],[Age]]&lt;=35,"26-35",credit[[#This Row],[Age]]&lt;=45,"36-45",credit[[#This Row],[Age]]&lt;=60,"46-60",TRUE,"60+")</f>
        <v>26-35</v>
      </c>
      <c r="C131" t="s">
        <v>14</v>
      </c>
      <c r="D131">
        <v>2</v>
      </c>
      <c r="E131" t="s">
        <v>10</v>
      </c>
      <c r="F131" t="s">
        <v>12</v>
      </c>
      <c r="G131" t="s">
        <v>12</v>
      </c>
      <c r="H131">
        <v>3499</v>
      </c>
      <c r="I131">
        <v>12</v>
      </c>
      <c r="J131" t="s">
        <v>19</v>
      </c>
      <c r="K131" t="str">
        <f>IF(AND(credit[[#This Row],[Credit amount]]&gt;9000,credit[[#This Row],[Saving accounts]]="little"),"High","Low")</f>
        <v>Low</v>
      </c>
    </row>
    <row r="132" spans="1:11" x14ac:dyDescent="0.25">
      <c r="A132">
        <v>24</v>
      </c>
      <c r="B132" s="13" t="str" cm="1">
        <f t="array" ref="B132">_xlfn.IFS(credit[[#This Row],[Age]]&lt;=25,"18-25",credit[[#This Row],[Age]]&lt;=35,"26-35",credit[[#This Row],[Age]]&lt;=45,"36-45",credit[[#This Row],[Age]]&lt;=60,"46-60",TRUE,"60+")</f>
        <v>18-25</v>
      </c>
      <c r="C132" t="s">
        <v>14</v>
      </c>
      <c r="D132">
        <v>2</v>
      </c>
      <c r="E132" t="s">
        <v>10</v>
      </c>
      <c r="F132" t="s">
        <v>11</v>
      </c>
      <c r="G132" t="s">
        <v>15</v>
      </c>
      <c r="H132">
        <v>8487</v>
      </c>
      <c r="I132">
        <v>48</v>
      </c>
      <c r="J132" t="s">
        <v>19</v>
      </c>
      <c r="K132" t="str">
        <f>IF(AND(credit[[#This Row],[Credit amount]]&gt;9000,credit[[#This Row],[Saving accounts]]="little"),"High","Low")</f>
        <v>Low</v>
      </c>
    </row>
    <row r="133" spans="1:11" x14ac:dyDescent="0.25">
      <c r="A133">
        <v>29</v>
      </c>
      <c r="B133" s="13" t="str" cm="1">
        <f t="array" ref="B133">_xlfn.IFS(credit[[#This Row],[Age]]&lt;=25,"18-25",credit[[#This Row],[Age]]&lt;=35,"26-35",credit[[#This Row],[Age]]&lt;=45,"36-45",credit[[#This Row],[Age]]&lt;=60,"46-60",TRUE,"60+")</f>
        <v>26-35</v>
      </c>
      <c r="C133" t="s">
        <v>9</v>
      </c>
      <c r="D133">
        <v>2</v>
      </c>
      <c r="E133" t="s">
        <v>10</v>
      </c>
      <c r="F133" t="s">
        <v>12</v>
      </c>
      <c r="G133" t="s">
        <v>12</v>
      </c>
      <c r="H133">
        <v>6887</v>
      </c>
      <c r="I133">
        <v>36</v>
      </c>
      <c r="J133" t="s">
        <v>16</v>
      </c>
      <c r="K133" t="str">
        <f>IF(AND(credit[[#This Row],[Credit amount]]&gt;9000,credit[[#This Row],[Saving accounts]]="little"),"High","Low")</f>
        <v>Low</v>
      </c>
    </row>
    <row r="134" spans="1:11" x14ac:dyDescent="0.25">
      <c r="A134">
        <v>27</v>
      </c>
      <c r="B134" s="13" t="str" cm="1">
        <f t="array" ref="B134">_xlfn.IFS(credit[[#This Row],[Age]]&lt;=25,"18-25",credit[[#This Row],[Age]]&lt;=35,"26-35",credit[[#This Row],[Age]]&lt;=45,"36-45",credit[[#This Row],[Age]]&lt;=60,"46-60",TRUE,"60+")</f>
        <v>26-35</v>
      </c>
      <c r="C134" t="s">
        <v>9</v>
      </c>
      <c r="D134">
        <v>1</v>
      </c>
      <c r="E134" t="s">
        <v>10</v>
      </c>
      <c r="F134" t="s">
        <v>12</v>
      </c>
      <c r="G134" t="s">
        <v>11</v>
      </c>
      <c r="H134">
        <v>2708</v>
      </c>
      <c r="I134">
        <v>15</v>
      </c>
      <c r="J134" t="s">
        <v>18</v>
      </c>
      <c r="K134" t="str">
        <f>IF(AND(credit[[#This Row],[Credit amount]]&gt;9000,credit[[#This Row],[Saving accounts]]="little"),"High","Low")</f>
        <v>Low</v>
      </c>
    </row>
    <row r="135" spans="1:11" x14ac:dyDescent="0.25">
      <c r="A135">
        <v>47</v>
      </c>
      <c r="B135" s="13" t="str" cm="1">
        <f t="array" ref="B135">_xlfn.IFS(credit[[#This Row],[Age]]&lt;=25,"18-25",credit[[#This Row],[Age]]&lt;=35,"26-35",credit[[#This Row],[Age]]&lt;=45,"36-45",credit[[#This Row],[Age]]&lt;=60,"46-60",TRUE,"60+")</f>
        <v>46-60</v>
      </c>
      <c r="C135" t="s">
        <v>9</v>
      </c>
      <c r="D135">
        <v>2</v>
      </c>
      <c r="E135" t="s">
        <v>17</v>
      </c>
      <c r="F135" t="s">
        <v>12</v>
      </c>
      <c r="G135" t="s">
        <v>11</v>
      </c>
      <c r="H135">
        <v>1984</v>
      </c>
      <c r="I135">
        <v>18</v>
      </c>
      <c r="J135" t="s">
        <v>18</v>
      </c>
      <c r="K135" t="str">
        <f>IF(AND(credit[[#This Row],[Credit amount]]&gt;9000,credit[[#This Row],[Saving accounts]]="little"),"High","Low")</f>
        <v>Low</v>
      </c>
    </row>
    <row r="136" spans="1:11" x14ac:dyDescent="0.25">
      <c r="A136">
        <v>21</v>
      </c>
      <c r="B136" s="13" t="str" cm="1">
        <f t="array" ref="B136">_xlfn.IFS(credit[[#This Row],[Age]]&lt;=25,"18-25",credit[[#This Row],[Age]]&lt;=35,"26-35",credit[[#This Row],[Age]]&lt;=45,"36-45",credit[[#This Row],[Age]]&lt;=60,"46-60",TRUE,"60+")</f>
        <v>18-25</v>
      </c>
      <c r="C136" t="s">
        <v>14</v>
      </c>
      <c r="D136">
        <v>2</v>
      </c>
      <c r="E136" t="s">
        <v>10</v>
      </c>
      <c r="F136" t="s">
        <v>15</v>
      </c>
      <c r="G136" t="s">
        <v>11</v>
      </c>
      <c r="H136">
        <v>10144</v>
      </c>
      <c r="I136">
        <v>60</v>
      </c>
      <c r="J136" t="s">
        <v>13</v>
      </c>
      <c r="K136" t="str">
        <f>IF(AND(credit[[#This Row],[Credit amount]]&gt;9000,credit[[#This Row],[Saving accounts]]="little"),"High","Low")</f>
        <v>Low</v>
      </c>
    </row>
    <row r="137" spans="1:11" x14ac:dyDescent="0.25">
      <c r="A137">
        <v>38</v>
      </c>
      <c r="B137" s="13" t="str" cm="1">
        <f t="array" ref="B137">_xlfn.IFS(credit[[#This Row],[Age]]&lt;=25,"18-25",credit[[#This Row],[Age]]&lt;=35,"26-35",credit[[#This Row],[Age]]&lt;=45,"36-45",credit[[#This Row],[Age]]&lt;=60,"46-60",TRUE,"60+")</f>
        <v>36-45</v>
      </c>
      <c r="C137" t="s">
        <v>14</v>
      </c>
      <c r="D137">
        <v>2</v>
      </c>
      <c r="E137" t="s">
        <v>10</v>
      </c>
      <c r="F137" t="s">
        <v>11</v>
      </c>
      <c r="G137" t="s">
        <v>11</v>
      </c>
      <c r="H137">
        <v>1240</v>
      </c>
      <c r="I137">
        <v>12</v>
      </c>
      <c r="J137" t="s">
        <v>13</v>
      </c>
      <c r="K137" t="str">
        <f>IF(AND(credit[[#This Row],[Credit amount]]&gt;9000,credit[[#This Row],[Saving accounts]]="little"),"High","Low")</f>
        <v>Low</v>
      </c>
    </row>
    <row r="138" spans="1:11" x14ac:dyDescent="0.25">
      <c r="A138">
        <v>27</v>
      </c>
      <c r="B138" s="13" t="str" cm="1">
        <f t="array" ref="B138">_xlfn.IFS(credit[[#This Row],[Age]]&lt;=25,"18-25",credit[[#This Row],[Age]]&lt;=35,"26-35",credit[[#This Row],[Age]]&lt;=45,"36-45",credit[[#This Row],[Age]]&lt;=60,"46-60",TRUE,"60+")</f>
        <v>26-35</v>
      </c>
      <c r="C138" t="s">
        <v>9</v>
      </c>
      <c r="D138">
        <v>2</v>
      </c>
      <c r="E138" t="s">
        <v>10</v>
      </c>
      <c r="F138" t="s">
        <v>22</v>
      </c>
      <c r="G138" t="s">
        <v>11</v>
      </c>
      <c r="H138">
        <v>8613</v>
      </c>
      <c r="I138">
        <v>27</v>
      </c>
      <c r="J138" t="s">
        <v>19</v>
      </c>
      <c r="K138" t="str">
        <f>IF(AND(credit[[#This Row],[Credit amount]]&gt;9000,credit[[#This Row],[Saving accounts]]="little"),"High","Low")</f>
        <v>Low</v>
      </c>
    </row>
    <row r="139" spans="1:11" x14ac:dyDescent="0.25">
      <c r="A139">
        <v>66</v>
      </c>
      <c r="B139" s="13" t="str" cm="1">
        <f t="array" ref="B139">_xlfn.IFS(credit[[#This Row],[Age]]&lt;=25,"18-25",credit[[#This Row],[Age]]&lt;=35,"26-35",credit[[#This Row],[Age]]&lt;=45,"36-45",credit[[#This Row],[Age]]&lt;=60,"46-60",TRUE,"60+")</f>
        <v>60+</v>
      </c>
      <c r="C139" t="s">
        <v>9</v>
      </c>
      <c r="D139">
        <v>1</v>
      </c>
      <c r="E139" t="s">
        <v>10</v>
      </c>
      <c r="F139" t="s">
        <v>20</v>
      </c>
      <c r="G139" t="s">
        <v>15</v>
      </c>
      <c r="H139">
        <v>766</v>
      </c>
      <c r="I139">
        <v>12</v>
      </c>
      <c r="J139" t="s">
        <v>13</v>
      </c>
      <c r="K139" t="str">
        <f>IF(AND(credit[[#This Row],[Credit amount]]&gt;9000,credit[[#This Row],[Saving accounts]]="little"),"High","Low")</f>
        <v>Low</v>
      </c>
    </row>
    <row r="140" spans="1:11" x14ac:dyDescent="0.25">
      <c r="A140">
        <v>35</v>
      </c>
      <c r="B140" s="13" t="str" cm="1">
        <f t="array" ref="B140">_xlfn.IFS(credit[[#This Row],[Age]]&lt;=25,"18-25",credit[[#This Row],[Age]]&lt;=35,"26-35",credit[[#This Row],[Age]]&lt;=45,"36-45",credit[[#This Row],[Age]]&lt;=60,"46-60",TRUE,"60+")</f>
        <v>26-35</v>
      </c>
      <c r="C140" t="s">
        <v>9</v>
      </c>
      <c r="D140">
        <v>2</v>
      </c>
      <c r="E140" t="s">
        <v>10</v>
      </c>
      <c r="F140" t="s">
        <v>11</v>
      </c>
      <c r="G140" t="s">
        <v>15</v>
      </c>
      <c r="H140">
        <v>2728</v>
      </c>
      <c r="I140">
        <v>15</v>
      </c>
      <c r="J140" t="s">
        <v>13</v>
      </c>
      <c r="K140" t="str">
        <f>IF(AND(credit[[#This Row],[Credit amount]]&gt;9000,credit[[#This Row],[Saving accounts]]="little"),"High","Low")</f>
        <v>Low</v>
      </c>
    </row>
    <row r="141" spans="1:11" x14ac:dyDescent="0.25">
      <c r="A141">
        <v>44</v>
      </c>
      <c r="B141" s="13" t="str" cm="1">
        <f t="array" ref="B141">_xlfn.IFS(credit[[#This Row],[Age]]&lt;=25,"18-25",credit[[#This Row],[Age]]&lt;=35,"26-35",credit[[#This Row],[Age]]&lt;=45,"36-45",credit[[#This Row],[Age]]&lt;=60,"46-60",TRUE,"60+")</f>
        <v>36-45</v>
      </c>
      <c r="C141" t="s">
        <v>14</v>
      </c>
      <c r="D141">
        <v>1</v>
      </c>
      <c r="E141" t="s">
        <v>21</v>
      </c>
      <c r="F141" t="s">
        <v>12</v>
      </c>
      <c r="G141" t="s">
        <v>22</v>
      </c>
      <c r="H141">
        <v>1881</v>
      </c>
      <c r="I141">
        <v>12</v>
      </c>
      <c r="J141" t="s">
        <v>13</v>
      </c>
      <c r="K141" t="str">
        <f>IF(AND(credit[[#This Row],[Credit amount]]&gt;9000,credit[[#This Row],[Saving accounts]]="little"),"High","Low")</f>
        <v>Low</v>
      </c>
    </row>
    <row r="142" spans="1:11" x14ac:dyDescent="0.25">
      <c r="A142">
        <v>27</v>
      </c>
      <c r="B142" s="13" t="str" cm="1">
        <f t="array" ref="B142">_xlfn.IFS(credit[[#This Row],[Age]]&lt;=25,"18-25",credit[[#This Row],[Age]]&lt;=35,"26-35",credit[[#This Row],[Age]]&lt;=45,"36-45",credit[[#This Row],[Age]]&lt;=60,"46-60",TRUE,"60+")</f>
        <v>26-35</v>
      </c>
      <c r="C142" t="s">
        <v>9</v>
      </c>
      <c r="D142">
        <v>0</v>
      </c>
      <c r="E142" t="s">
        <v>10</v>
      </c>
      <c r="F142" t="s">
        <v>22</v>
      </c>
      <c r="G142" t="s">
        <v>22</v>
      </c>
      <c r="H142">
        <v>709</v>
      </c>
      <c r="I142">
        <v>6</v>
      </c>
      <c r="J142" t="s">
        <v>19</v>
      </c>
      <c r="K142" t="str">
        <f>IF(AND(credit[[#This Row],[Credit amount]]&gt;9000,credit[[#This Row],[Saving accounts]]="little"),"High","Low")</f>
        <v>Low</v>
      </c>
    </row>
    <row r="143" spans="1:11" x14ac:dyDescent="0.25">
      <c r="A143">
        <v>30</v>
      </c>
      <c r="B143" s="13" t="str" cm="1">
        <f t="array" ref="B143">_xlfn.IFS(credit[[#This Row],[Age]]&lt;=25,"18-25",credit[[#This Row],[Age]]&lt;=35,"26-35",credit[[#This Row],[Age]]&lt;=45,"36-45",credit[[#This Row],[Age]]&lt;=60,"46-60",TRUE,"60+")</f>
        <v>26-35</v>
      </c>
      <c r="C143" t="s">
        <v>14</v>
      </c>
      <c r="D143">
        <v>3</v>
      </c>
      <c r="E143" t="s">
        <v>10</v>
      </c>
      <c r="F143" t="s">
        <v>12</v>
      </c>
      <c r="G143" t="s">
        <v>15</v>
      </c>
      <c r="H143">
        <v>4795</v>
      </c>
      <c r="I143">
        <v>36</v>
      </c>
      <c r="J143" t="s">
        <v>13</v>
      </c>
      <c r="K143" t="str">
        <f>IF(AND(credit[[#This Row],[Credit amount]]&gt;9000,credit[[#This Row],[Saving accounts]]="little"),"High","Low")</f>
        <v>Low</v>
      </c>
    </row>
    <row r="144" spans="1:11" x14ac:dyDescent="0.25">
      <c r="A144">
        <v>27</v>
      </c>
      <c r="B144" s="13" t="str" cm="1">
        <f t="array" ref="B144">_xlfn.IFS(credit[[#This Row],[Age]]&lt;=25,"18-25",credit[[#This Row],[Age]]&lt;=35,"26-35",credit[[#This Row],[Age]]&lt;=45,"36-45",credit[[#This Row],[Age]]&lt;=60,"46-60",TRUE,"60+")</f>
        <v>26-35</v>
      </c>
      <c r="C144" t="s">
        <v>9</v>
      </c>
      <c r="D144">
        <v>3</v>
      </c>
      <c r="E144" t="s">
        <v>10</v>
      </c>
      <c r="F144" t="s">
        <v>12</v>
      </c>
      <c r="G144" t="s">
        <v>12</v>
      </c>
      <c r="H144">
        <v>3416</v>
      </c>
      <c r="I144">
        <v>27</v>
      </c>
      <c r="J144" t="s">
        <v>13</v>
      </c>
      <c r="K144" t="str">
        <f>IF(AND(credit[[#This Row],[Credit amount]]&gt;9000,credit[[#This Row],[Saving accounts]]="little"),"High","Low")</f>
        <v>Low</v>
      </c>
    </row>
    <row r="145" spans="1:11" x14ac:dyDescent="0.25">
      <c r="A145">
        <v>22</v>
      </c>
      <c r="B145" s="13" t="str" cm="1">
        <f t="array" ref="B145">_xlfn.IFS(credit[[#This Row],[Age]]&lt;=25,"18-25",credit[[#This Row],[Age]]&lt;=35,"26-35",credit[[#This Row],[Age]]&lt;=45,"36-45",credit[[#This Row],[Age]]&lt;=60,"46-60",TRUE,"60+")</f>
        <v>18-25</v>
      </c>
      <c r="C145" t="s">
        <v>9</v>
      </c>
      <c r="D145">
        <v>2</v>
      </c>
      <c r="E145" t="s">
        <v>10</v>
      </c>
      <c r="F145" t="s">
        <v>12</v>
      </c>
      <c r="G145" t="s">
        <v>12</v>
      </c>
      <c r="H145">
        <v>2462</v>
      </c>
      <c r="I145">
        <v>18</v>
      </c>
      <c r="J145" t="s">
        <v>18</v>
      </c>
      <c r="K145" t="str">
        <f>IF(AND(credit[[#This Row],[Credit amount]]&gt;9000,credit[[#This Row],[Saving accounts]]="little"),"High","Low")</f>
        <v>Low</v>
      </c>
    </row>
    <row r="146" spans="1:11" x14ac:dyDescent="0.25">
      <c r="A146">
        <v>23</v>
      </c>
      <c r="B146" s="13" t="str" cm="1">
        <f t="array" ref="B146">_xlfn.IFS(credit[[#This Row],[Age]]&lt;=25,"18-25",credit[[#This Row],[Age]]&lt;=35,"26-35",credit[[#This Row],[Age]]&lt;=45,"36-45",credit[[#This Row],[Age]]&lt;=60,"46-60",TRUE,"60+")</f>
        <v>18-25</v>
      </c>
      <c r="C146" t="s">
        <v>14</v>
      </c>
      <c r="D146">
        <v>2</v>
      </c>
      <c r="E146" t="s">
        <v>10</v>
      </c>
      <c r="F146" t="s">
        <v>12</v>
      </c>
      <c r="G146" t="s">
        <v>11</v>
      </c>
      <c r="H146">
        <v>2288</v>
      </c>
      <c r="I146">
        <v>21</v>
      </c>
      <c r="J146" t="s">
        <v>18</v>
      </c>
      <c r="K146" t="str">
        <f>IF(AND(credit[[#This Row],[Credit amount]]&gt;9000,credit[[#This Row],[Saving accounts]]="little"),"High","Low")</f>
        <v>Low</v>
      </c>
    </row>
    <row r="147" spans="1:11" x14ac:dyDescent="0.25">
      <c r="A147">
        <v>30</v>
      </c>
      <c r="B147" s="13" t="str" cm="1">
        <f t="array" ref="B147">_xlfn.IFS(credit[[#This Row],[Age]]&lt;=25,"18-25",credit[[#This Row],[Age]]&lt;=35,"26-35",credit[[#This Row],[Age]]&lt;=45,"36-45",credit[[#This Row],[Age]]&lt;=60,"46-60",TRUE,"60+")</f>
        <v>26-35</v>
      </c>
      <c r="C147" t="s">
        <v>9</v>
      </c>
      <c r="D147">
        <v>2</v>
      </c>
      <c r="E147" t="s">
        <v>10</v>
      </c>
      <c r="F147" t="s">
        <v>15</v>
      </c>
      <c r="G147" t="s">
        <v>15</v>
      </c>
      <c r="H147">
        <v>3566</v>
      </c>
      <c r="I147">
        <v>48</v>
      </c>
      <c r="J147" t="s">
        <v>23</v>
      </c>
      <c r="K147" t="str">
        <f>IF(AND(credit[[#This Row],[Credit amount]]&gt;9000,credit[[#This Row],[Saving accounts]]="little"),"High","Low")</f>
        <v>Low</v>
      </c>
    </row>
    <row r="148" spans="1:11" x14ac:dyDescent="0.25">
      <c r="A148">
        <v>39</v>
      </c>
      <c r="B148" s="13" t="str" cm="1">
        <f t="array" ref="B148">_xlfn.IFS(credit[[#This Row],[Age]]&lt;=25,"18-25",credit[[#This Row],[Age]]&lt;=35,"26-35",credit[[#This Row],[Age]]&lt;=45,"36-45",credit[[#This Row],[Age]]&lt;=60,"46-60",TRUE,"60+")</f>
        <v>36-45</v>
      </c>
      <c r="C148" t="s">
        <v>14</v>
      </c>
      <c r="D148">
        <v>2</v>
      </c>
      <c r="E148" t="s">
        <v>10</v>
      </c>
      <c r="F148" t="s">
        <v>12</v>
      </c>
      <c r="G148" t="s">
        <v>12</v>
      </c>
      <c r="H148">
        <v>860</v>
      </c>
      <c r="I148">
        <v>6</v>
      </c>
      <c r="J148" t="s">
        <v>19</v>
      </c>
      <c r="K148" t="str">
        <f>IF(AND(credit[[#This Row],[Credit amount]]&gt;9000,credit[[#This Row],[Saving accounts]]="little"),"High","Low")</f>
        <v>Low</v>
      </c>
    </row>
    <row r="149" spans="1:11" x14ac:dyDescent="0.25">
      <c r="A149">
        <v>51</v>
      </c>
      <c r="B149" s="13" t="str" cm="1">
        <f t="array" ref="B149">_xlfn.IFS(credit[[#This Row],[Age]]&lt;=25,"18-25",credit[[#This Row],[Age]]&lt;=35,"26-35",credit[[#This Row],[Age]]&lt;=45,"36-45",credit[[#This Row],[Age]]&lt;=60,"46-60",TRUE,"60+")</f>
        <v>46-60</v>
      </c>
      <c r="C149" t="s">
        <v>14</v>
      </c>
      <c r="D149">
        <v>2</v>
      </c>
      <c r="E149" t="s">
        <v>10</v>
      </c>
      <c r="F149" t="s">
        <v>15</v>
      </c>
      <c r="G149" t="s">
        <v>11</v>
      </c>
      <c r="H149">
        <v>682</v>
      </c>
      <c r="I149">
        <v>12</v>
      </c>
      <c r="J149" t="s">
        <v>19</v>
      </c>
      <c r="K149" t="str">
        <f>IF(AND(credit[[#This Row],[Credit amount]]&gt;9000,credit[[#This Row],[Saving accounts]]="little"),"High","Low")</f>
        <v>Low</v>
      </c>
    </row>
    <row r="150" spans="1:11" x14ac:dyDescent="0.25">
      <c r="A150">
        <v>28</v>
      </c>
      <c r="B150" s="13" t="str" cm="1">
        <f t="array" ref="B150">_xlfn.IFS(credit[[#This Row],[Age]]&lt;=25,"18-25",credit[[#This Row],[Age]]&lt;=35,"26-35",credit[[#This Row],[Age]]&lt;=45,"36-45",credit[[#This Row],[Age]]&lt;=60,"46-60",TRUE,"60+")</f>
        <v>26-35</v>
      </c>
      <c r="C150" t="s">
        <v>9</v>
      </c>
      <c r="D150">
        <v>2</v>
      </c>
      <c r="E150" t="s">
        <v>10</v>
      </c>
      <c r="F150" t="s">
        <v>12</v>
      </c>
      <c r="G150" t="s">
        <v>12</v>
      </c>
      <c r="H150">
        <v>5371</v>
      </c>
      <c r="I150">
        <v>36</v>
      </c>
      <c r="J150" t="s">
        <v>18</v>
      </c>
      <c r="K150" t="str">
        <f>IF(AND(credit[[#This Row],[Credit amount]]&gt;9000,credit[[#This Row],[Saving accounts]]="little"),"High","Low")</f>
        <v>Low</v>
      </c>
    </row>
    <row r="151" spans="1:11" x14ac:dyDescent="0.25">
      <c r="A151">
        <v>46</v>
      </c>
      <c r="B151" s="13" t="str" cm="1">
        <f t="array" ref="B151">_xlfn.IFS(credit[[#This Row],[Age]]&lt;=25,"18-25",credit[[#This Row],[Age]]&lt;=35,"26-35",credit[[#This Row],[Age]]&lt;=45,"36-45",credit[[#This Row],[Age]]&lt;=60,"46-60",TRUE,"60+")</f>
        <v>46-60</v>
      </c>
      <c r="C151" t="s">
        <v>9</v>
      </c>
      <c r="D151">
        <v>2</v>
      </c>
      <c r="E151" t="s">
        <v>10</v>
      </c>
      <c r="F151" t="s">
        <v>22</v>
      </c>
      <c r="G151" t="s">
        <v>11</v>
      </c>
      <c r="H151">
        <v>1582</v>
      </c>
      <c r="I151">
        <v>18</v>
      </c>
      <c r="J151" t="s">
        <v>13</v>
      </c>
      <c r="K151" t="str">
        <f>IF(AND(credit[[#This Row],[Credit amount]]&gt;9000,credit[[#This Row],[Saving accounts]]="little"),"High","Low")</f>
        <v>Low</v>
      </c>
    </row>
    <row r="152" spans="1:11" x14ac:dyDescent="0.25">
      <c r="A152">
        <v>42</v>
      </c>
      <c r="B152" s="13" t="str" cm="1">
        <f t="array" ref="B152">_xlfn.IFS(credit[[#This Row],[Age]]&lt;=25,"18-25",credit[[#This Row],[Age]]&lt;=35,"26-35",credit[[#This Row],[Age]]&lt;=45,"36-45",credit[[#This Row],[Age]]&lt;=60,"46-60",TRUE,"60+")</f>
        <v>36-45</v>
      </c>
      <c r="C152" t="s">
        <v>9</v>
      </c>
      <c r="D152">
        <v>2</v>
      </c>
      <c r="E152" t="s">
        <v>17</v>
      </c>
      <c r="F152" t="s">
        <v>15</v>
      </c>
      <c r="G152" t="s">
        <v>11</v>
      </c>
      <c r="H152">
        <v>1346</v>
      </c>
      <c r="I152">
        <v>6</v>
      </c>
      <c r="J152" t="s">
        <v>13</v>
      </c>
      <c r="K152" t="str">
        <f>IF(AND(credit[[#This Row],[Credit amount]]&gt;9000,credit[[#This Row],[Saving accounts]]="little"),"High","Low")</f>
        <v>Low</v>
      </c>
    </row>
    <row r="153" spans="1:11" x14ac:dyDescent="0.25">
      <c r="A153">
        <v>38</v>
      </c>
      <c r="B153" s="13" t="str" cm="1">
        <f t="array" ref="B153">_xlfn.IFS(credit[[#This Row],[Age]]&lt;=25,"18-25",credit[[#This Row],[Age]]&lt;=35,"26-35",credit[[#This Row],[Age]]&lt;=45,"36-45",credit[[#This Row],[Age]]&lt;=60,"46-60",TRUE,"60+")</f>
        <v>36-45</v>
      </c>
      <c r="C153" t="s">
        <v>9</v>
      </c>
      <c r="D153">
        <v>2</v>
      </c>
      <c r="E153" t="s">
        <v>10</v>
      </c>
      <c r="F153" t="s">
        <v>12</v>
      </c>
      <c r="G153" t="s">
        <v>11</v>
      </c>
      <c r="H153">
        <v>1924</v>
      </c>
      <c r="I153">
        <v>10</v>
      </c>
      <c r="J153" t="s">
        <v>13</v>
      </c>
      <c r="K153" t="str">
        <f>IF(AND(credit[[#This Row],[Credit amount]]&gt;9000,credit[[#This Row],[Saving accounts]]="little"),"High","Low")</f>
        <v>Low</v>
      </c>
    </row>
    <row r="154" spans="1:11" x14ac:dyDescent="0.25">
      <c r="A154">
        <v>24</v>
      </c>
      <c r="B154" s="13" t="str" cm="1">
        <f t="array" ref="B154">_xlfn.IFS(credit[[#This Row],[Age]]&lt;=25,"18-25",credit[[#This Row],[Age]]&lt;=35,"26-35",credit[[#This Row],[Age]]&lt;=45,"36-45",credit[[#This Row],[Age]]&lt;=60,"46-60",TRUE,"60+")</f>
        <v>18-25</v>
      </c>
      <c r="C154" t="s">
        <v>9</v>
      </c>
      <c r="D154">
        <v>2</v>
      </c>
      <c r="E154" t="s">
        <v>10</v>
      </c>
      <c r="F154" t="s">
        <v>12</v>
      </c>
      <c r="G154" t="s">
        <v>22</v>
      </c>
      <c r="H154">
        <v>5848</v>
      </c>
      <c r="I154">
        <v>36</v>
      </c>
      <c r="J154" t="s">
        <v>13</v>
      </c>
      <c r="K154" t="str">
        <f>IF(AND(credit[[#This Row],[Credit amount]]&gt;9000,credit[[#This Row],[Saving accounts]]="little"),"High","Low")</f>
        <v>Low</v>
      </c>
    </row>
    <row r="155" spans="1:11" x14ac:dyDescent="0.25">
      <c r="A155">
        <v>29</v>
      </c>
      <c r="B155" s="13" t="str" cm="1">
        <f t="array" ref="B155">_xlfn.IFS(credit[[#This Row],[Age]]&lt;=25,"18-25",credit[[#This Row],[Age]]&lt;=35,"26-35",credit[[#This Row],[Age]]&lt;=45,"36-45",credit[[#This Row],[Age]]&lt;=60,"46-60",TRUE,"60+")</f>
        <v>26-35</v>
      </c>
      <c r="C155" t="s">
        <v>14</v>
      </c>
      <c r="D155">
        <v>2</v>
      </c>
      <c r="E155" t="s">
        <v>21</v>
      </c>
      <c r="F155" t="s">
        <v>22</v>
      </c>
      <c r="G155" t="s">
        <v>15</v>
      </c>
      <c r="H155">
        <v>7758</v>
      </c>
      <c r="I155">
        <v>24</v>
      </c>
      <c r="J155" t="s">
        <v>19</v>
      </c>
      <c r="K155" t="str">
        <f>IF(AND(credit[[#This Row],[Credit amount]]&gt;9000,credit[[#This Row],[Saving accounts]]="little"),"High","Low")</f>
        <v>Low</v>
      </c>
    </row>
    <row r="156" spans="1:11" x14ac:dyDescent="0.25">
      <c r="A156">
        <v>36</v>
      </c>
      <c r="B156" s="13" t="str" cm="1">
        <f t="array" ref="B156">_xlfn.IFS(credit[[#This Row],[Age]]&lt;=25,"18-25",credit[[#This Row],[Age]]&lt;=35,"26-35",credit[[#This Row],[Age]]&lt;=45,"36-45",credit[[#This Row],[Age]]&lt;=60,"46-60",TRUE,"60+")</f>
        <v>36-45</v>
      </c>
      <c r="C156" t="s">
        <v>9</v>
      </c>
      <c r="D156">
        <v>3</v>
      </c>
      <c r="E156" t="s">
        <v>21</v>
      </c>
      <c r="F156" t="s">
        <v>15</v>
      </c>
      <c r="G156" t="s">
        <v>15</v>
      </c>
      <c r="H156">
        <v>6967</v>
      </c>
      <c r="I156">
        <v>24</v>
      </c>
      <c r="J156" t="s">
        <v>23</v>
      </c>
      <c r="K156" t="str">
        <f>IF(AND(credit[[#This Row],[Credit amount]]&gt;9000,credit[[#This Row],[Saving accounts]]="little"),"High","Low")</f>
        <v>Low</v>
      </c>
    </row>
    <row r="157" spans="1:11" x14ac:dyDescent="0.25">
      <c r="A157">
        <v>20</v>
      </c>
      <c r="B157" s="13" t="str" cm="1">
        <f t="array" ref="B157">_xlfn.IFS(credit[[#This Row],[Age]]&lt;=25,"18-25",credit[[#This Row],[Age]]&lt;=35,"26-35",credit[[#This Row],[Age]]&lt;=45,"36-45",credit[[#This Row],[Age]]&lt;=60,"46-60",TRUE,"60+")</f>
        <v>18-25</v>
      </c>
      <c r="C157" t="s">
        <v>14</v>
      </c>
      <c r="D157">
        <v>2</v>
      </c>
      <c r="E157" t="s">
        <v>21</v>
      </c>
      <c r="F157" t="s">
        <v>12</v>
      </c>
      <c r="G157" t="s">
        <v>12</v>
      </c>
      <c r="H157">
        <v>1282</v>
      </c>
      <c r="I157">
        <v>12</v>
      </c>
      <c r="J157" t="s">
        <v>18</v>
      </c>
      <c r="K157" t="str">
        <f>IF(AND(credit[[#This Row],[Credit amount]]&gt;9000,credit[[#This Row],[Saving accounts]]="little"),"High","Low")</f>
        <v>Low</v>
      </c>
    </row>
    <row r="158" spans="1:11" x14ac:dyDescent="0.25">
      <c r="A158">
        <v>48</v>
      </c>
      <c r="B158" s="13" t="str" cm="1">
        <f t="array" ref="B158">_xlfn.IFS(credit[[#This Row],[Age]]&lt;=25,"18-25",credit[[#This Row],[Age]]&lt;=35,"26-35",credit[[#This Row],[Age]]&lt;=45,"36-45",credit[[#This Row],[Age]]&lt;=60,"46-60",TRUE,"60+")</f>
        <v>46-60</v>
      </c>
      <c r="C158" t="s">
        <v>9</v>
      </c>
      <c r="D158">
        <v>2</v>
      </c>
      <c r="E158" t="s">
        <v>10</v>
      </c>
      <c r="F158" t="s">
        <v>15</v>
      </c>
      <c r="G158" t="s">
        <v>12</v>
      </c>
      <c r="H158">
        <v>1288</v>
      </c>
      <c r="I158">
        <v>9</v>
      </c>
      <c r="J158" t="s">
        <v>25</v>
      </c>
      <c r="K158" t="str">
        <f>IF(AND(credit[[#This Row],[Credit amount]]&gt;9000,credit[[#This Row],[Saving accounts]]="little"),"High","Low")</f>
        <v>Low</v>
      </c>
    </row>
    <row r="159" spans="1:11" x14ac:dyDescent="0.25">
      <c r="A159">
        <v>45</v>
      </c>
      <c r="B159" s="13" t="str" cm="1">
        <f t="array" ref="B159">_xlfn.IFS(credit[[#This Row],[Age]]&lt;=25,"18-25",credit[[#This Row],[Age]]&lt;=35,"26-35",credit[[#This Row],[Age]]&lt;=45,"36-45",credit[[#This Row],[Age]]&lt;=60,"46-60",TRUE,"60+")</f>
        <v>36-45</v>
      </c>
      <c r="C159" t="s">
        <v>9</v>
      </c>
      <c r="D159">
        <v>1</v>
      </c>
      <c r="E159" t="s">
        <v>10</v>
      </c>
      <c r="F159" t="s">
        <v>12</v>
      </c>
      <c r="G159" t="s">
        <v>12</v>
      </c>
      <c r="H159">
        <v>339</v>
      </c>
      <c r="I159">
        <v>12</v>
      </c>
      <c r="J159" t="s">
        <v>16</v>
      </c>
      <c r="K159" t="str">
        <f>IF(AND(credit[[#This Row],[Credit amount]]&gt;9000,credit[[#This Row],[Saving accounts]]="little"),"High","Low")</f>
        <v>Low</v>
      </c>
    </row>
    <row r="160" spans="1:11" x14ac:dyDescent="0.25">
      <c r="A160">
        <v>38</v>
      </c>
      <c r="B160" s="13" t="str" cm="1">
        <f t="array" ref="B160">_xlfn.IFS(credit[[#This Row],[Age]]&lt;=25,"18-25",credit[[#This Row],[Age]]&lt;=35,"26-35",credit[[#This Row],[Age]]&lt;=45,"36-45",credit[[#This Row],[Age]]&lt;=60,"46-60",TRUE,"60+")</f>
        <v>36-45</v>
      </c>
      <c r="C160" t="s">
        <v>9</v>
      </c>
      <c r="D160">
        <v>2</v>
      </c>
      <c r="E160" t="s">
        <v>10</v>
      </c>
      <c r="F160" t="s">
        <v>15</v>
      </c>
      <c r="G160" t="s">
        <v>15</v>
      </c>
      <c r="H160">
        <v>3512</v>
      </c>
      <c r="I160">
        <v>24</v>
      </c>
      <c r="J160" t="s">
        <v>19</v>
      </c>
      <c r="K160" t="str">
        <f>IF(AND(credit[[#This Row],[Credit amount]]&gt;9000,credit[[#This Row],[Saving accounts]]="little"),"High","Low")</f>
        <v>Low</v>
      </c>
    </row>
    <row r="161" spans="1:11" x14ac:dyDescent="0.25">
      <c r="A161">
        <v>34</v>
      </c>
      <c r="B161" s="13" t="str" cm="1">
        <f t="array" ref="B161">_xlfn.IFS(credit[[#This Row],[Age]]&lt;=25,"18-25",credit[[#This Row],[Age]]&lt;=35,"26-35",credit[[#This Row],[Age]]&lt;=45,"36-45",credit[[#This Row],[Age]]&lt;=60,"46-60",TRUE,"60+")</f>
        <v>26-35</v>
      </c>
      <c r="C161" t="s">
        <v>9</v>
      </c>
      <c r="D161">
        <v>1</v>
      </c>
      <c r="E161" t="s">
        <v>10</v>
      </c>
      <c r="F161" t="s">
        <v>11</v>
      </c>
      <c r="G161" t="s">
        <v>11</v>
      </c>
      <c r="H161">
        <v>1898</v>
      </c>
      <c r="I161">
        <v>6</v>
      </c>
      <c r="J161" t="s">
        <v>13</v>
      </c>
      <c r="K161" t="str">
        <f>IF(AND(credit[[#This Row],[Credit amount]]&gt;9000,credit[[#This Row],[Saving accounts]]="little"),"High","Low")</f>
        <v>Low</v>
      </c>
    </row>
    <row r="162" spans="1:11" x14ac:dyDescent="0.25">
      <c r="A162">
        <v>36</v>
      </c>
      <c r="B162" s="13" t="str" cm="1">
        <f t="array" ref="B162">_xlfn.IFS(credit[[#This Row],[Age]]&lt;=25,"18-25",credit[[#This Row],[Age]]&lt;=35,"26-35",credit[[#This Row],[Age]]&lt;=45,"36-45",credit[[#This Row],[Age]]&lt;=60,"46-60",TRUE,"60+")</f>
        <v>36-45</v>
      </c>
      <c r="C162" t="s">
        <v>9</v>
      </c>
      <c r="D162">
        <v>2</v>
      </c>
      <c r="E162" t="s">
        <v>10</v>
      </c>
      <c r="F162" t="s">
        <v>15</v>
      </c>
      <c r="G162" t="s">
        <v>11</v>
      </c>
      <c r="H162">
        <v>2872</v>
      </c>
      <c r="I162">
        <v>24</v>
      </c>
      <c r="J162" t="s">
        <v>13</v>
      </c>
      <c r="K162" t="str">
        <f>IF(AND(credit[[#This Row],[Credit amount]]&gt;9000,credit[[#This Row],[Saving accounts]]="little"),"High","Low")</f>
        <v>Low</v>
      </c>
    </row>
    <row r="163" spans="1:11" x14ac:dyDescent="0.25">
      <c r="A163">
        <v>30</v>
      </c>
      <c r="B163" s="13" t="str" cm="1">
        <f t="array" ref="B163">_xlfn.IFS(credit[[#This Row],[Age]]&lt;=25,"18-25",credit[[#This Row],[Age]]&lt;=35,"26-35",credit[[#This Row],[Age]]&lt;=45,"36-45",credit[[#This Row],[Age]]&lt;=60,"46-60",TRUE,"60+")</f>
        <v>26-35</v>
      </c>
      <c r="C163" t="s">
        <v>14</v>
      </c>
      <c r="D163">
        <v>2</v>
      </c>
      <c r="E163" t="s">
        <v>10</v>
      </c>
      <c r="F163" t="s">
        <v>12</v>
      </c>
      <c r="G163" t="s">
        <v>11</v>
      </c>
      <c r="H163">
        <v>1055</v>
      </c>
      <c r="I163">
        <v>18</v>
      </c>
      <c r="J163" t="s">
        <v>19</v>
      </c>
      <c r="K163" t="str">
        <f>IF(AND(credit[[#This Row],[Credit amount]]&gt;9000,credit[[#This Row],[Saving accounts]]="little"),"High","Low")</f>
        <v>Low</v>
      </c>
    </row>
    <row r="164" spans="1:11" x14ac:dyDescent="0.25">
      <c r="A164">
        <v>36</v>
      </c>
      <c r="B164" s="13" t="str" cm="1">
        <f t="array" ref="B164">_xlfn.IFS(credit[[#This Row],[Age]]&lt;=25,"18-25",credit[[#This Row],[Age]]&lt;=35,"26-35",credit[[#This Row],[Age]]&lt;=45,"36-45",credit[[#This Row],[Age]]&lt;=60,"46-60",TRUE,"60+")</f>
        <v>36-45</v>
      </c>
      <c r="C164" t="s">
        <v>9</v>
      </c>
      <c r="D164">
        <v>2</v>
      </c>
      <c r="E164" t="s">
        <v>10</v>
      </c>
      <c r="F164" t="s">
        <v>20</v>
      </c>
      <c r="G164" t="s">
        <v>11</v>
      </c>
      <c r="H164">
        <v>1262</v>
      </c>
      <c r="I164">
        <v>15</v>
      </c>
      <c r="J164" t="s">
        <v>24</v>
      </c>
      <c r="K164" t="str">
        <f>IF(AND(credit[[#This Row],[Credit amount]]&gt;9000,credit[[#This Row],[Saving accounts]]="little"),"High","Low")</f>
        <v>Low</v>
      </c>
    </row>
    <row r="165" spans="1:11" x14ac:dyDescent="0.25">
      <c r="A165">
        <v>70</v>
      </c>
      <c r="B165" s="13" t="str" cm="1">
        <f t="array" ref="B165">_xlfn.IFS(credit[[#This Row],[Age]]&lt;=25,"18-25",credit[[#This Row],[Age]]&lt;=35,"26-35",credit[[#This Row],[Age]]&lt;=45,"36-45",credit[[#This Row],[Age]]&lt;=60,"46-60",TRUE,"60+")</f>
        <v>60+</v>
      </c>
      <c r="C165" t="s">
        <v>9</v>
      </c>
      <c r="D165">
        <v>3</v>
      </c>
      <c r="E165" t="s">
        <v>17</v>
      </c>
      <c r="F165" t="s">
        <v>12</v>
      </c>
      <c r="G165" t="s">
        <v>15</v>
      </c>
      <c r="H165">
        <v>7308</v>
      </c>
      <c r="I165">
        <v>10</v>
      </c>
      <c r="J165" t="s">
        <v>19</v>
      </c>
      <c r="K165" t="str">
        <f>IF(AND(credit[[#This Row],[Credit amount]]&gt;9000,credit[[#This Row],[Saving accounts]]="little"),"High","Low")</f>
        <v>Low</v>
      </c>
    </row>
    <row r="166" spans="1:11" x14ac:dyDescent="0.25">
      <c r="A166">
        <v>36</v>
      </c>
      <c r="B166" s="13" t="str" cm="1">
        <f t="array" ref="B166">_xlfn.IFS(credit[[#This Row],[Age]]&lt;=25,"18-25",credit[[#This Row],[Age]]&lt;=35,"26-35",credit[[#This Row],[Age]]&lt;=45,"36-45",credit[[#This Row],[Age]]&lt;=60,"46-60",TRUE,"60+")</f>
        <v>36-45</v>
      </c>
      <c r="C166" t="s">
        <v>9</v>
      </c>
      <c r="D166">
        <v>2</v>
      </c>
      <c r="E166" t="s">
        <v>10</v>
      </c>
      <c r="F166" t="s">
        <v>20</v>
      </c>
      <c r="G166" t="s">
        <v>11</v>
      </c>
      <c r="H166">
        <v>909</v>
      </c>
      <c r="I166">
        <v>36</v>
      </c>
      <c r="J166" t="s">
        <v>19</v>
      </c>
      <c r="K166" t="str">
        <f>IF(AND(credit[[#This Row],[Credit amount]]&gt;9000,credit[[#This Row],[Saving accounts]]="little"),"High","Low")</f>
        <v>Low</v>
      </c>
    </row>
    <row r="167" spans="1:11" x14ac:dyDescent="0.25">
      <c r="A167">
        <v>32</v>
      </c>
      <c r="B167" s="13" t="str" cm="1">
        <f t="array" ref="B167">_xlfn.IFS(credit[[#This Row],[Age]]&lt;=25,"18-25",credit[[#This Row],[Age]]&lt;=35,"26-35",credit[[#This Row],[Age]]&lt;=45,"36-45",credit[[#This Row],[Age]]&lt;=60,"46-60",TRUE,"60+")</f>
        <v>26-35</v>
      </c>
      <c r="C167" t="s">
        <v>9</v>
      </c>
      <c r="D167">
        <v>2</v>
      </c>
      <c r="E167" t="s">
        <v>10</v>
      </c>
      <c r="F167" t="s">
        <v>20</v>
      </c>
      <c r="G167" t="s">
        <v>11</v>
      </c>
      <c r="H167">
        <v>2978</v>
      </c>
      <c r="I167">
        <v>6</v>
      </c>
      <c r="J167" t="s">
        <v>18</v>
      </c>
      <c r="K167" t="str">
        <f>IF(AND(credit[[#This Row],[Credit amount]]&gt;9000,credit[[#This Row],[Saving accounts]]="little"),"High","Low")</f>
        <v>Low</v>
      </c>
    </row>
    <row r="168" spans="1:11" x14ac:dyDescent="0.25">
      <c r="A168">
        <v>33</v>
      </c>
      <c r="B168" s="13" t="str" cm="1">
        <f t="array" ref="B168">_xlfn.IFS(credit[[#This Row],[Age]]&lt;=25,"18-25",credit[[#This Row],[Age]]&lt;=35,"26-35",credit[[#This Row],[Age]]&lt;=45,"36-45",credit[[#This Row],[Age]]&lt;=60,"46-60",TRUE,"60+")</f>
        <v>26-35</v>
      </c>
      <c r="C168" t="s">
        <v>14</v>
      </c>
      <c r="D168">
        <v>2</v>
      </c>
      <c r="E168" t="s">
        <v>10</v>
      </c>
      <c r="F168" t="s">
        <v>12</v>
      </c>
      <c r="G168" t="s">
        <v>12</v>
      </c>
      <c r="H168">
        <v>1131</v>
      </c>
      <c r="I168">
        <v>18</v>
      </c>
      <c r="J168" t="s">
        <v>18</v>
      </c>
      <c r="K168" t="str">
        <f>IF(AND(credit[[#This Row],[Credit amount]]&gt;9000,credit[[#This Row],[Saving accounts]]="little"),"High","Low")</f>
        <v>Low</v>
      </c>
    </row>
    <row r="169" spans="1:11" x14ac:dyDescent="0.25">
      <c r="A169">
        <v>20</v>
      </c>
      <c r="B169" s="13" t="str" cm="1">
        <f t="array" ref="B169">_xlfn.IFS(credit[[#This Row],[Age]]&lt;=25,"18-25",credit[[#This Row],[Age]]&lt;=35,"26-35",credit[[#This Row],[Age]]&lt;=45,"36-45",credit[[#This Row],[Age]]&lt;=60,"46-60",TRUE,"60+")</f>
        <v>18-25</v>
      </c>
      <c r="C169" t="s">
        <v>14</v>
      </c>
      <c r="D169">
        <v>2</v>
      </c>
      <c r="E169" t="s">
        <v>10</v>
      </c>
      <c r="F169" t="s">
        <v>22</v>
      </c>
      <c r="G169" t="s">
        <v>15</v>
      </c>
      <c r="H169">
        <v>1577</v>
      </c>
      <c r="I169">
        <v>11</v>
      </c>
      <c r="J169" t="s">
        <v>18</v>
      </c>
      <c r="K169" t="str">
        <f>IF(AND(credit[[#This Row],[Credit amount]]&gt;9000,credit[[#This Row],[Saving accounts]]="little"),"High","Low")</f>
        <v>Low</v>
      </c>
    </row>
    <row r="170" spans="1:11" x14ac:dyDescent="0.25">
      <c r="A170">
        <v>25</v>
      </c>
      <c r="B170" s="13" t="str" cm="1">
        <f t="array" ref="B170">_xlfn.IFS(credit[[#This Row],[Age]]&lt;=25,"18-25",credit[[#This Row],[Age]]&lt;=35,"26-35",credit[[#This Row],[Age]]&lt;=45,"36-45",credit[[#This Row],[Age]]&lt;=60,"46-60",TRUE,"60+")</f>
        <v>18-25</v>
      </c>
      <c r="C170" t="s">
        <v>14</v>
      </c>
      <c r="D170">
        <v>2</v>
      </c>
      <c r="E170" t="s">
        <v>21</v>
      </c>
      <c r="F170" t="s">
        <v>12</v>
      </c>
      <c r="G170" t="s">
        <v>11</v>
      </c>
      <c r="H170">
        <v>3972</v>
      </c>
      <c r="I170">
        <v>24</v>
      </c>
      <c r="J170" t="s">
        <v>18</v>
      </c>
      <c r="K170" t="str">
        <f>IF(AND(credit[[#This Row],[Credit amount]]&gt;9000,credit[[#This Row],[Saving accounts]]="little"),"High","Low")</f>
        <v>Low</v>
      </c>
    </row>
    <row r="171" spans="1:11" x14ac:dyDescent="0.25">
      <c r="A171">
        <v>31</v>
      </c>
      <c r="B171" s="13" t="str" cm="1">
        <f t="array" ref="B171">_xlfn.IFS(credit[[#This Row],[Age]]&lt;=25,"18-25",credit[[#This Row],[Age]]&lt;=35,"26-35",credit[[#This Row],[Age]]&lt;=45,"36-45",credit[[#This Row],[Age]]&lt;=60,"46-60",TRUE,"60+")</f>
        <v>26-35</v>
      </c>
      <c r="C171" t="s">
        <v>9</v>
      </c>
      <c r="D171">
        <v>2</v>
      </c>
      <c r="E171" t="s">
        <v>10</v>
      </c>
      <c r="F171" t="s">
        <v>12</v>
      </c>
      <c r="G171" t="s">
        <v>15</v>
      </c>
      <c r="H171">
        <v>1935</v>
      </c>
      <c r="I171">
        <v>24</v>
      </c>
      <c r="J171" t="s">
        <v>23</v>
      </c>
      <c r="K171" t="str">
        <f>IF(AND(credit[[#This Row],[Credit amount]]&gt;9000,credit[[#This Row],[Saving accounts]]="little"),"High","Low")</f>
        <v>Low</v>
      </c>
    </row>
    <row r="172" spans="1:11" x14ac:dyDescent="0.25">
      <c r="A172">
        <v>33</v>
      </c>
      <c r="B172" s="13" t="str" cm="1">
        <f t="array" ref="B172">_xlfn.IFS(credit[[#This Row],[Age]]&lt;=25,"18-25",credit[[#This Row],[Age]]&lt;=35,"26-35",credit[[#This Row],[Age]]&lt;=45,"36-45",credit[[#This Row],[Age]]&lt;=60,"46-60",TRUE,"60+")</f>
        <v>26-35</v>
      </c>
      <c r="C172" t="s">
        <v>9</v>
      </c>
      <c r="D172">
        <v>2</v>
      </c>
      <c r="E172" t="s">
        <v>21</v>
      </c>
      <c r="F172" t="s">
        <v>12</v>
      </c>
      <c r="G172" t="s">
        <v>12</v>
      </c>
      <c r="H172">
        <v>950</v>
      </c>
      <c r="I172">
        <v>15</v>
      </c>
      <c r="J172" t="s">
        <v>19</v>
      </c>
      <c r="K172" t="str">
        <f>IF(AND(credit[[#This Row],[Credit amount]]&gt;9000,credit[[#This Row],[Saving accounts]]="little"),"High","Low")</f>
        <v>Low</v>
      </c>
    </row>
    <row r="173" spans="1:11" x14ac:dyDescent="0.25">
      <c r="A173">
        <v>26</v>
      </c>
      <c r="B173" s="13" t="str" cm="1">
        <f t="array" ref="B173">_xlfn.IFS(credit[[#This Row],[Age]]&lt;=25,"18-25",credit[[#This Row],[Age]]&lt;=35,"26-35",credit[[#This Row],[Age]]&lt;=45,"36-45",credit[[#This Row],[Age]]&lt;=60,"46-60",TRUE,"60+")</f>
        <v>26-35</v>
      </c>
      <c r="C173" t="s">
        <v>14</v>
      </c>
      <c r="D173">
        <v>2</v>
      </c>
      <c r="E173" t="s">
        <v>10</v>
      </c>
      <c r="F173" t="s">
        <v>12</v>
      </c>
      <c r="G173" t="s">
        <v>11</v>
      </c>
      <c r="H173">
        <v>763</v>
      </c>
      <c r="I173">
        <v>12</v>
      </c>
      <c r="J173" t="s">
        <v>18</v>
      </c>
      <c r="K173" t="str">
        <f>IF(AND(credit[[#This Row],[Credit amount]]&gt;9000,credit[[#This Row],[Saving accounts]]="little"),"High","Low")</f>
        <v>Low</v>
      </c>
    </row>
    <row r="174" spans="1:11" x14ac:dyDescent="0.25">
      <c r="A174">
        <v>34</v>
      </c>
      <c r="B174" s="13" t="str" cm="1">
        <f t="array" ref="B174">_xlfn.IFS(credit[[#This Row],[Age]]&lt;=25,"18-25",credit[[#This Row],[Age]]&lt;=35,"26-35",credit[[#This Row],[Age]]&lt;=45,"36-45",credit[[#This Row],[Age]]&lt;=60,"46-60",TRUE,"60+")</f>
        <v>26-35</v>
      </c>
      <c r="C174" t="s">
        <v>14</v>
      </c>
      <c r="D174">
        <v>3</v>
      </c>
      <c r="E174" t="s">
        <v>10</v>
      </c>
      <c r="F174" t="s">
        <v>12</v>
      </c>
      <c r="G174" t="s">
        <v>15</v>
      </c>
      <c r="H174">
        <v>2064</v>
      </c>
      <c r="I174">
        <v>24</v>
      </c>
      <c r="J174" t="s">
        <v>18</v>
      </c>
      <c r="K174" t="str">
        <f>IF(AND(credit[[#This Row],[Credit amount]]&gt;9000,credit[[#This Row],[Saving accounts]]="little"),"High","Low")</f>
        <v>Low</v>
      </c>
    </row>
    <row r="175" spans="1:11" x14ac:dyDescent="0.25">
      <c r="A175">
        <v>33</v>
      </c>
      <c r="B175" s="13" t="str" cm="1">
        <f t="array" ref="B175">_xlfn.IFS(credit[[#This Row],[Age]]&lt;=25,"18-25",credit[[#This Row],[Age]]&lt;=35,"26-35",credit[[#This Row],[Age]]&lt;=45,"36-45",credit[[#This Row],[Age]]&lt;=60,"46-60",TRUE,"60+")</f>
        <v>26-35</v>
      </c>
      <c r="C175" t="s">
        <v>9</v>
      </c>
      <c r="D175">
        <v>2</v>
      </c>
      <c r="E175" t="s">
        <v>10</v>
      </c>
      <c r="F175" t="s">
        <v>12</v>
      </c>
      <c r="G175" t="s">
        <v>15</v>
      </c>
      <c r="H175">
        <v>1414</v>
      </c>
      <c r="I175">
        <v>8</v>
      </c>
      <c r="J175" t="s">
        <v>13</v>
      </c>
      <c r="K175" t="str">
        <f>IF(AND(credit[[#This Row],[Credit amount]]&gt;9000,credit[[#This Row],[Saving accounts]]="little"),"High","Low")</f>
        <v>Low</v>
      </c>
    </row>
    <row r="176" spans="1:11" x14ac:dyDescent="0.25">
      <c r="A176">
        <v>26</v>
      </c>
      <c r="B176" s="13" t="str" cm="1">
        <f t="array" ref="B176">_xlfn.IFS(credit[[#This Row],[Age]]&lt;=25,"18-25",credit[[#This Row],[Age]]&lt;=35,"26-35",credit[[#This Row],[Age]]&lt;=45,"36-45",credit[[#This Row],[Age]]&lt;=60,"46-60",TRUE,"60+")</f>
        <v>26-35</v>
      </c>
      <c r="C176" t="s">
        <v>9</v>
      </c>
      <c r="D176">
        <v>2</v>
      </c>
      <c r="E176" t="s">
        <v>10</v>
      </c>
      <c r="F176" t="s">
        <v>12</v>
      </c>
      <c r="G176" t="s">
        <v>12</v>
      </c>
      <c r="H176">
        <v>3414</v>
      </c>
      <c r="I176">
        <v>21</v>
      </c>
      <c r="J176" t="s">
        <v>16</v>
      </c>
      <c r="K176" t="str">
        <f>IF(AND(credit[[#This Row],[Credit amount]]&gt;9000,credit[[#This Row],[Saving accounts]]="little"),"High","Low")</f>
        <v>Low</v>
      </c>
    </row>
    <row r="177" spans="1:11" x14ac:dyDescent="0.25">
      <c r="A177">
        <v>53</v>
      </c>
      <c r="B177" s="13" t="str" cm="1">
        <f t="array" ref="B177">_xlfn.IFS(credit[[#This Row],[Age]]&lt;=25,"18-25",credit[[#This Row],[Age]]&lt;=35,"26-35",credit[[#This Row],[Age]]&lt;=45,"36-45",credit[[#This Row],[Age]]&lt;=60,"46-60",TRUE,"60+")</f>
        <v>46-60</v>
      </c>
      <c r="C177" t="s">
        <v>14</v>
      </c>
      <c r="D177">
        <v>3</v>
      </c>
      <c r="E177" t="s">
        <v>10</v>
      </c>
      <c r="F177" t="s">
        <v>11</v>
      </c>
      <c r="G177" t="s">
        <v>11</v>
      </c>
      <c r="H177">
        <v>7485</v>
      </c>
      <c r="I177">
        <v>30</v>
      </c>
      <c r="J177" t="s">
        <v>19</v>
      </c>
      <c r="K177" t="str">
        <f>IF(AND(credit[[#This Row],[Credit amount]]&gt;9000,credit[[#This Row],[Saving accounts]]="little"),"High","Low")</f>
        <v>Low</v>
      </c>
    </row>
    <row r="178" spans="1:11" x14ac:dyDescent="0.25">
      <c r="A178">
        <v>42</v>
      </c>
      <c r="B178" s="13" t="str" cm="1">
        <f t="array" ref="B178">_xlfn.IFS(credit[[#This Row],[Age]]&lt;=25,"18-25",credit[[#This Row],[Age]]&lt;=35,"26-35",credit[[#This Row],[Age]]&lt;=45,"36-45",credit[[#This Row],[Age]]&lt;=60,"46-60",TRUE,"60+")</f>
        <v>36-45</v>
      </c>
      <c r="C178" t="s">
        <v>9</v>
      </c>
      <c r="D178">
        <v>2</v>
      </c>
      <c r="E178" t="s">
        <v>10</v>
      </c>
      <c r="F178" t="s">
        <v>12</v>
      </c>
      <c r="G178" t="s">
        <v>12</v>
      </c>
      <c r="H178">
        <v>2577</v>
      </c>
      <c r="I178">
        <v>12</v>
      </c>
      <c r="J178" t="s">
        <v>18</v>
      </c>
      <c r="K178" t="str">
        <f>IF(AND(credit[[#This Row],[Credit amount]]&gt;9000,credit[[#This Row],[Saving accounts]]="little"),"High","Low")</f>
        <v>Low</v>
      </c>
    </row>
    <row r="179" spans="1:11" x14ac:dyDescent="0.25">
      <c r="A179">
        <v>52</v>
      </c>
      <c r="B179" s="13" t="str" cm="1">
        <f t="array" ref="B179">_xlfn.IFS(credit[[#This Row],[Age]]&lt;=25,"18-25",credit[[#This Row],[Age]]&lt;=35,"26-35",credit[[#This Row],[Age]]&lt;=45,"36-45",credit[[#This Row],[Age]]&lt;=60,"46-60",TRUE,"60+")</f>
        <v>46-60</v>
      </c>
      <c r="C179" t="s">
        <v>9</v>
      </c>
      <c r="D179">
        <v>2</v>
      </c>
      <c r="E179" t="s">
        <v>10</v>
      </c>
      <c r="F179" t="s">
        <v>20</v>
      </c>
      <c r="G179" t="s">
        <v>12</v>
      </c>
      <c r="H179">
        <v>338</v>
      </c>
      <c r="I179">
        <v>6</v>
      </c>
      <c r="J179" t="s">
        <v>13</v>
      </c>
      <c r="K179" t="str">
        <f>IF(AND(credit[[#This Row],[Credit amount]]&gt;9000,credit[[#This Row],[Saving accounts]]="little"),"High","Low")</f>
        <v>Low</v>
      </c>
    </row>
    <row r="180" spans="1:11" x14ac:dyDescent="0.25">
      <c r="A180">
        <v>31</v>
      </c>
      <c r="B180" s="13" t="str" cm="1">
        <f t="array" ref="B180">_xlfn.IFS(credit[[#This Row],[Age]]&lt;=25,"18-25",credit[[#This Row],[Age]]&lt;=35,"26-35",credit[[#This Row],[Age]]&lt;=45,"36-45",credit[[#This Row],[Age]]&lt;=60,"46-60",TRUE,"60+")</f>
        <v>26-35</v>
      </c>
      <c r="C180" t="s">
        <v>9</v>
      </c>
      <c r="D180">
        <v>3</v>
      </c>
      <c r="E180" t="s">
        <v>21</v>
      </c>
      <c r="F180" t="s">
        <v>12</v>
      </c>
      <c r="G180" t="s">
        <v>11</v>
      </c>
      <c r="H180">
        <v>1963</v>
      </c>
      <c r="I180">
        <v>12</v>
      </c>
      <c r="J180" t="s">
        <v>13</v>
      </c>
      <c r="K180" t="str">
        <f>IF(AND(credit[[#This Row],[Credit amount]]&gt;9000,credit[[#This Row],[Saving accounts]]="little"),"High","Low")</f>
        <v>Low</v>
      </c>
    </row>
    <row r="181" spans="1:11" x14ac:dyDescent="0.25">
      <c r="A181">
        <v>65</v>
      </c>
      <c r="B181" s="13" t="str" cm="1">
        <f t="array" ref="B181">_xlfn.IFS(credit[[#This Row],[Age]]&lt;=25,"18-25",credit[[#This Row],[Age]]&lt;=35,"26-35",credit[[#This Row],[Age]]&lt;=45,"36-45",credit[[#This Row],[Age]]&lt;=60,"46-60",TRUE,"60+")</f>
        <v>60+</v>
      </c>
      <c r="C181" t="s">
        <v>9</v>
      </c>
      <c r="D181">
        <v>2</v>
      </c>
      <c r="E181" t="s">
        <v>10</v>
      </c>
      <c r="F181" t="s">
        <v>12</v>
      </c>
      <c r="G181" t="s">
        <v>12</v>
      </c>
      <c r="H181">
        <v>571</v>
      </c>
      <c r="I181">
        <v>21</v>
      </c>
      <c r="J181" t="s">
        <v>19</v>
      </c>
      <c r="K181" t="str">
        <f>IF(AND(credit[[#This Row],[Credit amount]]&gt;9000,credit[[#This Row],[Saving accounts]]="little"),"High","Low")</f>
        <v>Low</v>
      </c>
    </row>
    <row r="182" spans="1:11" x14ac:dyDescent="0.25">
      <c r="A182">
        <v>28</v>
      </c>
      <c r="B182" s="13" t="str" cm="1">
        <f t="array" ref="B182">_xlfn.IFS(credit[[#This Row],[Age]]&lt;=25,"18-25",credit[[#This Row],[Age]]&lt;=35,"26-35",credit[[#This Row],[Age]]&lt;=45,"36-45",credit[[#This Row],[Age]]&lt;=60,"46-60",TRUE,"60+")</f>
        <v>26-35</v>
      </c>
      <c r="C182" t="s">
        <v>9</v>
      </c>
      <c r="D182">
        <v>2</v>
      </c>
      <c r="E182" t="s">
        <v>10</v>
      </c>
      <c r="F182" t="s">
        <v>12</v>
      </c>
      <c r="G182" t="s">
        <v>11</v>
      </c>
      <c r="H182">
        <v>9572</v>
      </c>
      <c r="I182">
        <v>36</v>
      </c>
      <c r="J182" t="s">
        <v>23</v>
      </c>
      <c r="K182" t="str">
        <f>IF(AND(credit[[#This Row],[Credit amount]]&gt;9000,credit[[#This Row],[Saving accounts]]="little"),"High","Low")</f>
        <v>High</v>
      </c>
    </row>
    <row r="183" spans="1:11" x14ac:dyDescent="0.25">
      <c r="A183">
        <v>30</v>
      </c>
      <c r="B183" s="13" t="str" cm="1">
        <f t="array" ref="B183">_xlfn.IFS(credit[[#This Row],[Age]]&lt;=25,"18-25",credit[[#This Row],[Age]]&lt;=35,"26-35",credit[[#This Row],[Age]]&lt;=45,"36-45",credit[[#This Row],[Age]]&lt;=60,"46-60",TRUE,"60+")</f>
        <v>26-35</v>
      </c>
      <c r="C183" t="s">
        <v>9</v>
      </c>
      <c r="D183">
        <v>3</v>
      </c>
      <c r="E183" t="s">
        <v>10</v>
      </c>
      <c r="F183" t="s">
        <v>12</v>
      </c>
      <c r="G183" t="s">
        <v>15</v>
      </c>
      <c r="H183">
        <v>4455</v>
      </c>
      <c r="I183">
        <v>36</v>
      </c>
      <c r="J183" t="s">
        <v>23</v>
      </c>
      <c r="K183" t="str">
        <f>IF(AND(credit[[#This Row],[Credit amount]]&gt;9000,credit[[#This Row],[Saving accounts]]="little"),"High","Low")</f>
        <v>Low</v>
      </c>
    </row>
    <row r="184" spans="1:11" x14ac:dyDescent="0.25">
      <c r="A184">
        <v>40</v>
      </c>
      <c r="B184" s="13" t="str" cm="1">
        <f t="array" ref="B184">_xlfn.IFS(credit[[#This Row],[Age]]&lt;=25,"18-25",credit[[#This Row],[Age]]&lt;=35,"26-35",credit[[#This Row],[Age]]&lt;=45,"36-45",credit[[#This Row],[Age]]&lt;=60,"46-60",TRUE,"60+")</f>
        <v>36-45</v>
      </c>
      <c r="C184" t="s">
        <v>9</v>
      </c>
      <c r="D184">
        <v>1</v>
      </c>
      <c r="E184" t="s">
        <v>10</v>
      </c>
      <c r="F184" t="s">
        <v>11</v>
      </c>
      <c r="G184" t="s">
        <v>12</v>
      </c>
      <c r="H184">
        <v>1647</v>
      </c>
      <c r="I184">
        <v>21</v>
      </c>
      <c r="J184" t="s">
        <v>19</v>
      </c>
      <c r="K184" t="str">
        <f>IF(AND(credit[[#This Row],[Credit amount]]&gt;9000,credit[[#This Row],[Saving accounts]]="little"),"High","Low")</f>
        <v>Low</v>
      </c>
    </row>
    <row r="185" spans="1:11" x14ac:dyDescent="0.25">
      <c r="A185">
        <v>50</v>
      </c>
      <c r="B185" s="13" t="str" cm="1">
        <f t="array" ref="B185">_xlfn.IFS(credit[[#This Row],[Age]]&lt;=25,"18-25",credit[[#This Row],[Age]]&lt;=35,"26-35",credit[[#This Row],[Age]]&lt;=45,"36-45",credit[[#This Row],[Age]]&lt;=60,"46-60",TRUE,"60+")</f>
        <v>46-60</v>
      </c>
      <c r="C185" t="s">
        <v>9</v>
      </c>
      <c r="D185">
        <v>2</v>
      </c>
      <c r="E185" t="s">
        <v>10</v>
      </c>
      <c r="F185" t="s">
        <v>22</v>
      </c>
      <c r="G185" t="s">
        <v>11</v>
      </c>
      <c r="H185">
        <v>3777</v>
      </c>
      <c r="I185">
        <v>24</v>
      </c>
      <c r="J185" t="s">
        <v>18</v>
      </c>
      <c r="K185" t="str">
        <f>IF(AND(credit[[#This Row],[Credit amount]]&gt;9000,credit[[#This Row],[Saving accounts]]="little"),"High","Low")</f>
        <v>Low</v>
      </c>
    </row>
    <row r="186" spans="1:11" x14ac:dyDescent="0.25">
      <c r="A186">
        <v>36</v>
      </c>
      <c r="B186" s="13" t="str" cm="1">
        <f t="array" ref="B186">_xlfn.IFS(credit[[#This Row],[Age]]&lt;=25,"18-25",credit[[#This Row],[Age]]&lt;=35,"26-35",credit[[#This Row],[Age]]&lt;=45,"36-45",credit[[#This Row],[Age]]&lt;=60,"46-60",TRUE,"60+")</f>
        <v>36-45</v>
      </c>
      <c r="C186" t="s">
        <v>9</v>
      </c>
      <c r="D186">
        <v>2</v>
      </c>
      <c r="E186" t="s">
        <v>10</v>
      </c>
      <c r="F186" t="s">
        <v>12</v>
      </c>
      <c r="G186" t="s">
        <v>15</v>
      </c>
      <c r="H186">
        <v>884</v>
      </c>
      <c r="I186">
        <v>18</v>
      </c>
      <c r="J186" t="s">
        <v>19</v>
      </c>
      <c r="K186" t="str">
        <f>IF(AND(credit[[#This Row],[Credit amount]]&gt;9000,credit[[#This Row],[Saving accounts]]="little"),"High","Low")</f>
        <v>Low</v>
      </c>
    </row>
    <row r="187" spans="1:11" x14ac:dyDescent="0.25">
      <c r="A187">
        <v>31</v>
      </c>
      <c r="B187" s="13" t="str" cm="1">
        <f t="array" ref="B187">_xlfn.IFS(credit[[#This Row],[Age]]&lt;=25,"18-25",credit[[#This Row],[Age]]&lt;=35,"26-35",credit[[#This Row],[Age]]&lt;=45,"36-45",credit[[#This Row],[Age]]&lt;=60,"46-60",TRUE,"60+")</f>
        <v>26-35</v>
      </c>
      <c r="C187" t="s">
        <v>9</v>
      </c>
      <c r="D187">
        <v>2</v>
      </c>
      <c r="E187" t="s">
        <v>10</v>
      </c>
      <c r="F187" t="s">
        <v>12</v>
      </c>
      <c r="G187" t="s">
        <v>11</v>
      </c>
      <c r="H187">
        <v>1360</v>
      </c>
      <c r="I187">
        <v>15</v>
      </c>
      <c r="J187" t="s">
        <v>13</v>
      </c>
      <c r="K187" t="str">
        <f>IF(AND(credit[[#This Row],[Credit amount]]&gt;9000,credit[[#This Row],[Saving accounts]]="little"),"High","Low")</f>
        <v>Low</v>
      </c>
    </row>
    <row r="188" spans="1:11" x14ac:dyDescent="0.25">
      <c r="A188">
        <v>74</v>
      </c>
      <c r="B188" s="13" t="str" cm="1">
        <f t="array" ref="B188">_xlfn.IFS(credit[[#This Row],[Age]]&lt;=25,"18-25",credit[[#This Row],[Age]]&lt;=35,"26-35",credit[[#This Row],[Age]]&lt;=45,"36-45",credit[[#This Row],[Age]]&lt;=60,"46-60",TRUE,"60+")</f>
        <v>60+</v>
      </c>
      <c r="C188" t="s">
        <v>14</v>
      </c>
      <c r="D188">
        <v>3</v>
      </c>
      <c r="E188" t="s">
        <v>17</v>
      </c>
      <c r="F188" t="s">
        <v>12</v>
      </c>
      <c r="G188" t="s">
        <v>15</v>
      </c>
      <c r="H188">
        <v>5129</v>
      </c>
      <c r="I188">
        <v>9</v>
      </c>
      <c r="J188" t="s">
        <v>19</v>
      </c>
      <c r="K188" t="str">
        <f>IF(AND(credit[[#This Row],[Credit amount]]&gt;9000,credit[[#This Row],[Saving accounts]]="little"),"High","Low")</f>
        <v>Low</v>
      </c>
    </row>
    <row r="189" spans="1:11" x14ac:dyDescent="0.25">
      <c r="A189">
        <v>68</v>
      </c>
      <c r="B189" s="13" t="str" cm="1">
        <f t="array" ref="B189">_xlfn.IFS(credit[[#This Row],[Age]]&lt;=25,"18-25",credit[[#This Row],[Age]]&lt;=35,"26-35",credit[[#This Row],[Age]]&lt;=45,"36-45",credit[[#This Row],[Age]]&lt;=60,"46-60",TRUE,"60+")</f>
        <v>60+</v>
      </c>
      <c r="C189" t="s">
        <v>9</v>
      </c>
      <c r="D189">
        <v>0</v>
      </c>
      <c r="E189" t="s">
        <v>17</v>
      </c>
      <c r="F189" t="s">
        <v>12</v>
      </c>
      <c r="G189" t="s">
        <v>15</v>
      </c>
      <c r="H189">
        <v>1175</v>
      </c>
      <c r="I189">
        <v>16</v>
      </c>
      <c r="J189" t="s">
        <v>19</v>
      </c>
      <c r="K189" t="str">
        <f>IF(AND(credit[[#This Row],[Credit amount]]&gt;9000,credit[[#This Row],[Saving accounts]]="little"),"High","Low")</f>
        <v>Low</v>
      </c>
    </row>
    <row r="190" spans="1:11" x14ac:dyDescent="0.25">
      <c r="A190">
        <v>20</v>
      </c>
      <c r="B190" s="13" t="str" cm="1">
        <f t="array" ref="B190">_xlfn.IFS(credit[[#This Row],[Age]]&lt;=25,"18-25",credit[[#This Row],[Age]]&lt;=35,"26-35",credit[[#This Row],[Age]]&lt;=45,"36-45",credit[[#This Row],[Age]]&lt;=60,"46-60",TRUE,"60+")</f>
        <v>18-25</v>
      </c>
      <c r="C190" t="s">
        <v>9</v>
      </c>
      <c r="D190">
        <v>2</v>
      </c>
      <c r="E190" t="s">
        <v>10</v>
      </c>
      <c r="F190" t="s">
        <v>15</v>
      </c>
      <c r="G190" t="s">
        <v>12</v>
      </c>
      <c r="H190">
        <v>674</v>
      </c>
      <c r="I190">
        <v>12</v>
      </c>
      <c r="J190" t="s">
        <v>13</v>
      </c>
      <c r="K190" t="str">
        <f>IF(AND(credit[[#This Row],[Credit amount]]&gt;9000,credit[[#This Row],[Saving accounts]]="little"),"High","Low")</f>
        <v>Low</v>
      </c>
    </row>
    <row r="191" spans="1:11" x14ac:dyDescent="0.25">
      <c r="A191">
        <v>33</v>
      </c>
      <c r="B191" s="13" t="str" cm="1">
        <f t="array" ref="B191">_xlfn.IFS(credit[[#This Row],[Age]]&lt;=25,"18-25",credit[[#This Row],[Age]]&lt;=35,"26-35",credit[[#This Row],[Age]]&lt;=45,"36-45",credit[[#This Row],[Age]]&lt;=60,"46-60",TRUE,"60+")</f>
        <v>26-35</v>
      </c>
      <c r="C191" t="s">
        <v>14</v>
      </c>
      <c r="D191">
        <v>2</v>
      </c>
      <c r="E191" t="s">
        <v>10</v>
      </c>
      <c r="F191" t="s">
        <v>12</v>
      </c>
      <c r="G191" t="s">
        <v>15</v>
      </c>
      <c r="H191">
        <v>3244</v>
      </c>
      <c r="I191">
        <v>18</v>
      </c>
      <c r="J191" t="s">
        <v>18</v>
      </c>
      <c r="K191" t="str">
        <f>IF(AND(credit[[#This Row],[Credit amount]]&gt;9000,credit[[#This Row],[Saving accounts]]="little"),"High","Low")</f>
        <v>Low</v>
      </c>
    </row>
    <row r="192" spans="1:11" x14ac:dyDescent="0.25">
      <c r="A192">
        <v>54</v>
      </c>
      <c r="B192" s="13" t="str" cm="1">
        <f t="array" ref="B192">_xlfn.IFS(credit[[#This Row],[Age]]&lt;=25,"18-25",credit[[#This Row],[Age]]&lt;=35,"26-35",credit[[#This Row],[Age]]&lt;=45,"36-45",credit[[#This Row],[Age]]&lt;=60,"46-60",TRUE,"60+")</f>
        <v>46-60</v>
      </c>
      <c r="C192" t="s">
        <v>9</v>
      </c>
      <c r="D192">
        <v>3</v>
      </c>
      <c r="E192" t="s">
        <v>10</v>
      </c>
      <c r="F192" t="s">
        <v>22</v>
      </c>
      <c r="G192" t="s">
        <v>11</v>
      </c>
      <c r="H192">
        <v>4591</v>
      </c>
      <c r="I192">
        <v>24</v>
      </c>
      <c r="J192" t="s">
        <v>23</v>
      </c>
      <c r="K192" t="str">
        <f>IF(AND(credit[[#This Row],[Credit amount]]&gt;9000,credit[[#This Row],[Saving accounts]]="little"),"High","Low")</f>
        <v>Low</v>
      </c>
    </row>
    <row r="193" spans="1:11" x14ac:dyDescent="0.25">
      <c r="A193">
        <v>34</v>
      </c>
      <c r="B193" s="13" t="str" cm="1">
        <f t="array" ref="B193">_xlfn.IFS(credit[[#This Row],[Age]]&lt;=25,"18-25",credit[[#This Row],[Age]]&lt;=35,"26-35",credit[[#This Row],[Age]]&lt;=45,"36-45",credit[[#This Row],[Age]]&lt;=60,"46-60",TRUE,"60+")</f>
        <v>26-35</v>
      </c>
      <c r="C193" t="s">
        <v>9</v>
      </c>
      <c r="D193">
        <v>1</v>
      </c>
      <c r="E193" t="s">
        <v>17</v>
      </c>
      <c r="F193" t="s">
        <v>15</v>
      </c>
      <c r="G193" t="s">
        <v>15</v>
      </c>
      <c r="H193">
        <v>3844</v>
      </c>
      <c r="I193">
        <v>48</v>
      </c>
      <c r="J193" t="s">
        <v>23</v>
      </c>
      <c r="K193" t="str">
        <f>IF(AND(credit[[#This Row],[Credit amount]]&gt;9000,credit[[#This Row],[Saving accounts]]="little"),"High","Low")</f>
        <v>Low</v>
      </c>
    </row>
    <row r="194" spans="1:11" x14ac:dyDescent="0.25">
      <c r="A194">
        <v>36</v>
      </c>
      <c r="B194" s="13" t="str" cm="1">
        <f t="array" ref="B194">_xlfn.IFS(credit[[#This Row],[Age]]&lt;=25,"18-25",credit[[#This Row],[Age]]&lt;=35,"26-35",credit[[#This Row],[Age]]&lt;=45,"36-45",credit[[#This Row],[Age]]&lt;=60,"46-60",TRUE,"60+")</f>
        <v>36-45</v>
      </c>
      <c r="C194" t="s">
        <v>9</v>
      </c>
      <c r="D194">
        <v>2</v>
      </c>
      <c r="E194" t="s">
        <v>10</v>
      </c>
      <c r="F194" t="s">
        <v>12</v>
      </c>
      <c r="G194" t="s">
        <v>15</v>
      </c>
      <c r="H194">
        <v>3915</v>
      </c>
      <c r="I194">
        <v>27</v>
      </c>
      <c r="J194" t="s">
        <v>23</v>
      </c>
      <c r="K194" t="str">
        <f>IF(AND(credit[[#This Row],[Credit amount]]&gt;9000,credit[[#This Row],[Saving accounts]]="little"),"High","Low")</f>
        <v>Low</v>
      </c>
    </row>
    <row r="195" spans="1:11" x14ac:dyDescent="0.25">
      <c r="A195">
        <v>29</v>
      </c>
      <c r="B195" s="13" t="str" cm="1">
        <f t="array" ref="B195">_xlfn.IFS(credit[[#This Row],[Age]]&lt;=25,"18-25",credit[[#This Row],[Age]]&lt;=35,"26-35",credit[[#This Row],[Age]]&lt;=45,"36-45",credit[[#This Row],[Age]]&lt;=60,"46-60",TRUE,"60+")</f>
        <v>26-35</v>
      </c>
      <c r="C195" t="s">
        <v>9</v>
      </c>
      <c r="D195">
        <v>2</v>
      </c>
      <c r="E195" t="s">
        <v>21</v>
      </c>
      <c r="F195" t="s">
        <v>12</v>
      </c>
      <c r="G195" t="s">
        <v>11</v>
      </c>
      <c r="H195">
        <v>2108</v>
      </c>
      <c r="I195">
        <v>6</v>
      </c>
      <c r="J195" t="s">
        <v>13</v>
      </c>
      <c r="K195" t="str">
        <f>IF(AND(credit[[#This Row],[Credit amount]]&gt;9000,credit[[#This Row],[Saving accounts]]="little"),"High","Low")</f>
        <v>Low</v>
      </c>
    </row>
    <row r="196" spans="1:11" x14ac:dyDescent="0.25">
      <c r="A196">
        <v>21</v>
      </c>
      <c r="B196" s="13" t="str" cm="1">
        <f t="array" ref="B196">_xlfn.IFS(credit[[#This Row],[Age]]&lt;=25,"18-25",credit[[#This Row],[Age]]&lt;=35,"26-35",credit[[#This Row],[Age]]&lt;=45,"36-45",credit[[#This Row],[Age]]&lt;=60,"46-60",TRUE,"60+")</f>
        <v>18-25</v>
      </c>
      <c r="C196" t="s">
        <v>9</v>
      </c>
      <c r="D196">
        <v>2</v>
      </c>
      <c r="E196" t="s">
        <v>21</v>
      </c>
      <c r="F196" t="s">
        <v>15</v>
      </c>
      <c r="G196" t="s">
        <v>15</v>
      </c>
      <c r="H196">
        <v>3031</v>
      </c>
      <c r="I196">
        <v>45</v>
      </c>
      <c r="J196" t="s">
        <v>13</v>
      </c>
      <c r="K196" t="str">
        <f>IF(AND(credit[[#This Row],[Credit amount]]&gt;9000,credit[[#This Row],[Saving accounts]]="little"),"High","Low")</f>
        <v>Low</v>
      </c>
    </row>
    <row r="197" spans="1:11" x14ac:dyDescent="0.25">
      <c r="A197">
        <v>34</v>
      </c>
      <c r="B197" s="13" t="str" cm="1">
        <f t="array" ref="B197">_xlfn.IFS(credit[[#This Row],[Age]]&lt;=25,"18-25",credit[[#This Row],[Age]]&lt;=35,"26-35",credit[[#This Row],[Age]]&lt;=45,"36-45",credit[[#This Row],[Age]]&lt;=60,"46-60",TRUE,"60+")</f>
        <v>26-35</v>
      </c>
      <c r="C197" t="s">
        <v>14</v>
      </c>
      <c r="D197">
        <v>3</v>
      </c>
      <c r="E197" t="s">
        <v>10</v>
      </c>
      <c r="F197" t="s">
        <v>12</v>
      </c>
      <c r="G197" t="s">
        <v>15</v>
      </c>
      <c r="H197">
        <v>1501</v>
      </c>
      <c r="I197">
        <v>9</v>
      </c>
      <c r="J197" t="s">
        <v>16</v>
      </c>
      <c r="K197" t="str">
        <f>IF(AND(credit[[#This Row],[Credit amount]]&gt;9000,credit[[#This Row],[Saving accounts]]="little"),"High","Low")</f>
        <v>Low</v>
      </c>
    </row>
    <row r="198" spans="1:11" x14ac:dyDescent="0.25">
      <c r="A198">
        <v>28</v>
      </c>
      <c r="B198" s="13" t="str" cm="1">
        <f t="array" ref="B198">_xlfn.IFS(credit[[#This Row],[Age]]&lt;=25,"18-25",credit[[#This Row],[Age]]&lt;=35,"26-35",credit[[#This Row],[Age]]&lt;=45,"36-45",credit[[#This Row],[Age]]&lt;=60,"46-60",TRUE,"60+")</f>
        <v>26-35</v>
      </c>
      <c r="C198" t="s">
        <v>14</v>
      </c>
      <c r="D198">
        <v>2</v>
      </c>
      <c r="E198" t="s">
        <v>10</v>
      </c>
      <c r="F198" t="s">
        <v>12</v>
      </c>
      <c r="G198" t="s">
        <v>11</v>
      </c>
      <c r="H198">
        <v>1382</v>
      </c>
      <c r="I198">
        <v>6</v>
      </c>
      <c r="J198" t="s">
        <v>13</v>
      </c>
      <c r="K198" t="str">
        <f>IF(AND(credit[[#This Row],[Credit amount]]&gt;9000,credit[[#This Row],[Saving accounts]]="little"),"High","Low")</f>
        <v>Low</v>
      </c>
    </row>
    <row r="199" spans="1:11" x14ac:dyDescent="0.25">
      <c r="A199">
        <v>27</v>
      </c>
      <c r="B199" s="13" t="str" cm="1">
        <f t="array" ref="B199">_xlfn.IFS(credit[[#This Row],[Age]]&lt;=25,"18-25",credit[[#This Row],[Age]]&lt;=35,"26-35",credit[[#This Row],[Age]]&lt;=45,"36-45",credit[[#This Row],[Age]]&lt;=60,"46-60",TRUE,"60+")</f>
        <v>26-35</v>
      </c>
      <c r="C199" t="s">
        <v>14</v>
      </c>
      <c r="D199">
        <v>2</v>
      </c>
      <c r="E199" t="s">
        <v>21</v>
      </c>
      <c r="F199" t="s">
        <v>15</v>
      </c>
      <c r="G199" t="s">
        <v>15</v>
      </c>
      <c r="H199">
        <v>951</v>
      </c>
      <c r="I199">
        <v>12</v>
      </c>
      <c r="J199" t="s">
        <v>18</v>
      </c>
      <c r="K199" t="str">
        <f>IF(AND(credit[[#This Row],[Credit amount]]&gt;9000,credit[[#This Row],[Saving accounts]]="little"),"High","Low")</f>
        <v>Low</v>
      </c>
    </row>
    <row r="200" spans="1:11" x14ac:dyDescent="0.25">
      <c r="A200">
        <v>36</v>
      </c>
      <c r="B200" s="13" t="str" cm="1">
        <f t="array" ref="B200">_xlfn.IFS(credit[[#This Row],[Age]]&lt;=25,"18-25",credit[[#This Row],[Age]]&lt;=35,"26-35",credit[[#This Row],[Age]]&lt;=45,"36-45",credit[[#This Row],[Age]]&lt;=60,"46-60",TRUE,"60+")</f>
        <v>36-45</v>
      </c>
      <c r="C200" t="s">
        <v>9</v>
      </c>
      <c r="D200">
        <v>2</v>
      </c>
      <c r="E200" t="s">
        <v>17</v>
      </c>
      <c r="F200" t="s">
        <v>11</v>
      </c>
      <c r="G200" t="s">
        <v>15</v>
      </c>
      <c r="H200">
        <v>2760</v>
      </c>
      <c r="I200">
        <v>24</v>
      </c>
      <c r="J200" t="s">
        <v>19</v>
      </c>
      <c r="K200" t="str">
        <f>IF(AND(credit[[#This Row],[Credit amount]]&gt;9000,credit[[#This Row],[Saving accounts]]="little"),"High","Low")</f>
        <v>Low</v>
      </c>
    </row>
    <row r="201" spans="1:11" x14ac:dyDescent="0.25">
      <c r="A201">
        <v>40</v>
      </c>
      <c r="B201" s="13" t="str" cm="1">
        <f t="array" ref="B201">_xlfn.IFS(credit[[#This Row],[Age]]&lt;=25,"18-25",credit[[#This Row],[Age]]&lt;=35,"26-35",credit[[#This Row],[Age]]&lt;=45,"36-45",credit[[#This Row],[Age]]&lt;=60,"46-60",TRUE,"60+")</f>
        <v>36-45</v>
      </c>
      <c r="C201" t="s">
        <v>9</v>
      </c>
      <c r="D201">
        <v>3</v>
      </c>
      <c r="E201" t="s">
        <v>10</v>
      </c>
      <c r="F201" t="s">
        <v>12</v>
      </c>
      <c r="G201" t="s">
        <v>15</v>
      </c>
      <c r="H201">
        <v>4297</v>
      </c>
      <c r="I201">
        <v>18</v>
      </c>
      <c r="J201" t="s">
        <v>18</v>
      </c>
      <c r="K201" t="str">
        <f>IF(AND(credit[[#This Row],[Credit amount]]&gt;9000,credit[[#This Row],[Saving accounts]]="little"),"High","Low")</f>
        <v>Low</v>
      </c>
    </row>
    <row r="202" spans="1:11" x14ac:dyDescent="0.25">
      <c r="A202">
        <v>52</v>
      </c>
      <c r="B202" s="13" t="str" cm="1">
        <f t="array" ref="B202">_xlfn.IFS(credit[[#This Row],[Age]]&lt;=25,"18-25",credit[[#This Row],[Age]]&lt;=35,"26-35",credit[[#This Row],[Age]]&lt;=45,"36-45",credit[[#This Row],[Age]]&lt;=60,"46-60",TRUE,"60+")</f>
        <v>46-60</v>
      </c>
      <c r="C202" t="s">
        <v>9</v>
      </c>
      <c r="D202">
        <v>2</v>
      </c>
      <c r="E202" t="s">
        <v>10</v>
      </c>
      <c r="F202" t="s">
        <v>20</v>
      </c>
      <c r="G202" t="s">
        <v>11</v>
      </c>
      <c r="H202">
        <v>936</v>
      </c>
      <c r="I202">
        <v>9</v>
      </c>
      <c r="J202" t="s">
        <v>16</v>
      </c>
      <c r="K202" t="str">
        <f>IF(AND(credit[[#This Row],[Credit amount]]&gt;9000,credit[[#This Row],[Saving accounts]]="little"),"High","Low")</f>
        <v>Low</v>
      </c>
    </row>
    <row r="203" spans="1:11" x14ac:dyDescent="0.25">
      <c r="A203">
        <v>27</v>
      </c>
      <c r="B203" s="13" t="str" cm="1">
        <f t="array" ref="B203">_xlfn.IFS(credit[[#This Row],[Age]]&lt;=25,"18-25",credit[[#This Row],[Age]]&lt;=35,"26-35",credit[[#This Row],[Age]]&lt;=45,"36-45",credit[[#This Row],[Age]]&lt;=60,"46-60",TRUE,"60+")</f>
        <v>26-35</v>
      </c>
      <c r="C203" t="s">
        <v>9</v>
      </c>
      <c r="D203">
        <v>1</v>
      </c>
      <c r="E203" t="s">
        <v>10</v>
      </c>
      <c r="F203" t="s">
        <v>12</v>
      </c>
      <c r="G203" t="s">
        <v>12</v>
      </c>
      <c r="H203">
        <v>1168</v>
      </c>
      <c r="I203">
        <v>12</v>
      </c>
      <c r="J203" t="s">
        <v>19</v>
      </c>
      <c r="K203" t="str">
        <f>IF(AND(credit[[#This Row],[Credit amount]]&gt;9000,credit[[#This Row],[Saving accounts]]="little"),"High","Low")</f>
        <v>Low</v>
      </c>
    </row>
    <row r="204" spans="1:11" x14ac:dyDescent="0.25">
      <c r="A204">
        <v>26</v>
      </c>
      <c r="B204" s="13" t="str" cm="1">
        <f t="array" ref="B204">_xlfn.IFS(credit[[#This Row],[Age]]&lt;=25,"18-25",credit[[#This Row],[Age]]&lt;=35,"26-35",credit[[#This Row],[Age]]&lt;=45,"36-45",credit[[#This Row],[Age]]&lt;=60,"46-60",TRUE,"60+")</f>
        <v>26-35</v>
      </c>
      <c r="C204" t="s">
        <v>9</v>
      </c>
      <c r="D204">
        <v>2</v>
      </c>
      <c r="E204" t="s">
        <v>10</v>
      </c>
      <c r="F204" t="s">
        <v>12</v>
      </c>
      <c r="G204" t="s">
        <v>11</v>
      </c>
      <c r="H204">
        <v>5117</v>
      </c>
      <c r="I204">
        <v>27</v>
      </c>
      <c r="J204" t="s">
        <v>23</v>
      </c>
      <c r="K204" t="str">
        <f>IF(AND(credit[[#This Row],[Credit amount]]&gt;9000,credit[[#This Row],[Saving accounts]]="little"),"High","Low")</f>
        <v>Low</v>
      </c>
    </row>
    <row r="205" spans="1:11" x14ac:dyDescent="0.25">
      <c r="A205">
        <v>21</v>
      </c>
      <c r="B205" s="13" t="str" cm="1">
        <f t="array" ref="B205">_xlfn.IFS(credit[[#This Row],[Age]]&lt;=25,"18-25",credit[[#This Row],[Age]]&lt;=35,"26-35",credit[[#This Row],[Age]]&lt;=45,"36-45",credit[[#This Row],[Age]]&lt;=60,"46-60",TRUE,"60+")</f>
        <v>18-25</v>
      </c>
      <c r="C205" t="s">
        <v>9</v>
      </c>
      <c r="D205">
        <v>2</v>
      </c>
      <c r="E205" t="s">
        <v>21</v>
      </c>
      <c r="F205" t="s">
        <v>12</v>
      </c>
      <c r="G205" t="s">
        <v>12</v>
      </c>
      <c r="H205">
        <v>902</v>
      </c>
      <c r="I205">
        <v>12</v>
      </c>
      <c r="J205" t="s">
        <v>16</v>
      </c>
      <c r="K205" t="str">
        <f>IF(AND(credit[[#This Row],[Credit amount]]&gt;9000,credit[[#This Row],[Saving accounts]]="little"),"High","Low")</f>
        <v>Low</v>
      </c>
    </row>
    <row r="206" spans="1:11" x14ac:dyDescent="0.25">
      <c r="A206">
        <v>38</v>
      </c>
      <c r="B206" s="13" t="str" cm="1">
        <f t="array" ref="B206">_xlfn.IFS(credit[[#This Row],[Age]]&lt;=25,"18-25",credit[[#This Row],[Age]]&lt;=35,"26-35",credit[[#This Row],[Age]]&lt;=45,"36-45",credit[[#This Row],[Age]]&lt;=60,"46-60",TRUE,"60+")</f>
        <v>36-45</v>
      </c>
      <c r="C206" t="s">
        <v>9</v>
      </c>
      <c r="D206">
        <v>1</v>
      </c>
      <c r="E206" t="s">
        <v>10</v>
      </c>
      <c r="F206" t="s">
        <v>12</v>
      </c>
      <c r="G206" t="s">
        <v>11</v>
      </c>
      <c r="H206">
        <v>1495</v>
      </c>
      <c r="I206">
        <v>12</v>
      </c>
      <c r="J206" t="s">
        <v>19</v>
      </c>
      <c r="K206" t="str">
        <f>IF(AND(credit[[#This Row],[Credit amount]]&gt;9000,credit[[#This Row],[Saving accounts]]="little"),"High","Low")</f>
        <v>Low</v>
      </c>
    </row>
    <row r="207" spans="1:11" x14ac:dyDescent="0.25">
      <c r="A207">
        <v>38</v>
      </c>
      <c r="B207" s="13" t="str" cm="1">
        <f t="array" ref="B207">_xlfn.IFS(credit[[#This Row],[Age]]&lt;=25,"18-25",credit[[#This Row],[Age]]&lt;=35,"26-35",credit[[#This Row],[Age]]&lt;=45,"36-45",credit[[#This Row],[Age]]&lt;=60,"46-60",TRUE,"60+")</f>
        <v>36-45</v>
      </c>
      <c r="C207" t="s">
        <v>9</v>
      </c>
      <c r="D207">
        <v>3</v>
      </c>
      <c r="E207" t="s">
        <v>17</v>
      </c>
      <c r="F207" t="s">
        <v>12</v>
      </c>
      <c r="G207" t="s">
        <v>12</v>
      </c>
      <c r="H207">
        <v>10623</v>
      </c>
      <c r="I207">
        <v>30</v>
      </c>
      <c r="J207" t="s">
        <v>19</v>
      </c>
      <c r="K207" t="str">
        <f>IF(AND(credit[[#This Row],[Credit amount]]&gt;9000,credit[[#This Row],[Saving accounts]]="little"),"High","Low")</f>
        <v>High</v>
      </c>
    </row>
    <row r="208" spans="1:11" x14ac:dyDescent="0.25">
      <c r="A208">
        <v>43</v>
      </c>
      <c r="B208" s="13" t="str" cm="1">
        <f t="array" ref="B208">_xlfn.IFS(credit[[#This Row],[Age]]&lt;=25,"18-25",credit[[#This Row],[Age]]&lt;=35,"26-35",credit[[#This Row],[Age]]&lt;=45,"36-45",credit[[#This Row],[Age]]&lt;=60,"46-60",TRUE,"60+")</f>
        <v>36-45</v>
      </c>
      <c r="C208" t="s">
        <v>9</v>
      </c>
      <c r="D208">
        <v>2</v>
      </c>
      <c r="E208" t="s">
        <v>10</v>
      </c>
      <c r="F208" t="s">
        <v>12</v>
      </c>
      <c r="G208" t="s">
        <v>11</v>
      </c>
      <c r="H208">
        <v>1935</v>
      </c>
      <c r="I208">
        <v>12</v>
      </c>
      <c r="J208" t="s">
        <v>18</v>
      </c>
      <c r="K208" t="str">
        <f>IF(AND(credit[[#This Row],[Credit amount]]&gt;9000,credit[[#This Row],[Saving accounts]]="little"),"High","Low")</f>
        <v>Low</v>
      </c>
    </row>
    <row r="209" spans="1:11" x14ac:dyDescent="0.25">
      <c r="A209">
        <v>26</v>
      </c>
      <c r="B209" s="13" t="str" cm="1">
        <f t="array" ref="B209">_xlfn.IFS(credit[[#This Row],[Age]]&lt;=25,"18-25",credit[[#This Row],[Age]]&lt;=35,"26-35",credit[[#This Row],[Age]]&lt;=45,"36-45",credit[[#This Row],[Age]]&lt;=60,"46-60",TRUE,"60+")</f>
        <v>26-35</v>
      </c>
      <c r="C209" t="s">
        <v>9</v>
      </c>
      <c r="D209">
        <v>2</v>
      </c>
      <c r="E209" t="s">
        <v>10</v>
      </c>
      <c r="F209" t="s">
        <v>12</v>
      </c>
      <c r="G209" t="s">
        <v>15</v>
      </c>
      <c r="H209">
        <v>1424</v>
      </c>
      <c r="I209">
        <v>12</v>
      </c>
      <c r="J209" t="s">
        <v>24</v>
      </c>
      <c r="K209" t="str">
        <f>IF(AND(credit[[#This Row],[Credit amount]]&gt;9000,credit[[#This Row],[Saving accounts]]="little"),"High","Low")</f>
        <v>Low</v>
      </c>
    </row>
    <row r="210" spans="1:11" x14ac:dyDescent="0.25">
      <c r="A210">
        <v>21</v>
      </c>
      <c r="B210" s="13" t="str" cm="1">
        <f t="array" ref="B210">_xlfn.IFS(credit[[#This Row],[Age]]&lt;=25,"18-25",credit[[#This Row],[Age]]&lt;=35,"26-35",credit[[#This Row],[Age]]&lt;=45,"36-45",credit[[#This Row],[Age]]&lt;=60,"46-60",TRUE,"60+")</f>
        <v>18-25</v>
      </c>
      <c r="C210" t="s">
        <v>9</v>
      </c>
      <c r="D210">
        <v>1</v>
      </c>
      <c r="E210" t="s">
        <v>10</v>
      </c>
      <c r="F210" t="s">
        <v>12</v>
      </c>
      <c r="G210" t="s">
        <v>12</v>
      </c>
      <c r="H210">
        <v>6568</v>
      </c>
      <c r="I210">
        <v>24</v>
      </c>
      <c r="J210" t="s">
        <v>23</v>
      </c>
      <c r="K210" t="str">
        <f>IF(AND(credit[[#This Row],[Credit amount]]&gt;9000,credit[[#This Row],[Saving accounts]]="little"),"High","Low")</f>
        <v>Low</v>
      </c>
    </row>
    <row r="211" spans="1:11" x14ac:dyDescent="0.25">
      <c r="A211">
        <v>55</v>
      </c>
      <c r="B211" s="13" t="str" cm="1">
        <f t="array" ref="B211">_xlfn.IFS(credit[[#This Row],[Age]]&lt;=25,"18-25",credit[[#This Row],[Age]]&lt;=35,"26-35",credit[[#This Row],[Age]]&lt;=45,"36-45",credit[[#This Row],[Age]]&lt;=60,"46-60",TRUE,"60+")</f>
        <v>46-60</v>
      </c>
      <c r="C211" t="s">
        <v>9</v>
      </c>
      <c r="D211">
        <v>2</v>
      </c>
      <c r="E211" t="s">
        <v>10</v>
      </c>
      <c r="F211" t="s">
        <v>22</v>
      </c>
      <c r="G211" t="s">
        <v>11</v>
      </c>
      <c r="H211">
        <v>1413</v>
      </c>
      <c r="I211">
        <v>12</v>
      </c>
      <c r="J211" t="s">
        <v>19</v>
      </c>
      <c r="K211" t="str">
        <f>IF(AND(credit[[#This Row],[Credit amount]]&gt;9000,credit[[#This Row],[Saving accounts]]="little"),"High","Low")</f>
        <v>Low</v>
      </c>
    </row>
    <row r="212" spans="1:11" x14ac:dyDescent="0.25">
      <c r="A212">
        <v>33</v>
      </c>
      <c r="B212" s="13" t="str" cm="1">
        <f t="array" ref="B212">_xlfn.IFS(credit[[#This Row],[Age]]&lt;=25,"18-25",credit[[#This Row],[Age]]&lt;=35,"26-35",credit[[#This Row],[Age]]&lt;=45,"36-45",credit[[#This Row],[Age]]&lt;=60,"46-60",TRUE,"60+")</f>
        <v>26-35</v>
      </c>
      <c r="C212" t="s">
        <v>9</v>
      </c>
      <c r="D212">
        <v>2</v>
      </c>
      <c r="E212" t="s">
        <v>10</v>
      </c>
      <c r="F212" t="s">
        <v>11</v>
      </c>
      <c r="G212" t="s">
        <v>11</v>
      </c>
      <c r="H212">
        <v>3074</v>
      </c>
      <c r="I212">
        <v>9</v>
      </c>
      <c r="J212" t="s">
        <v>13</v>
      </c>
      <c r="K212" t="str">
        <f>IF(AND(credit[[#This Row],[Credit amount]]&gt;9000,credit[[#This Row],[Saving accounts]]="little"),"High","Low")</f>
        <v>Low</v>
      </c>
    </row>
    <row r="213" spans="1:11" x14ac:dyDescent="0.25">
      <c r="A213">
        <v>45</v>
      </c>
      <c r="B213" s="13" t="str" cm="1">
        <f t="array" ref="B213">_xlfn.IFS(credit[[#This Row],[Age]]&lt;=25,"18-25",credit[[#This Row],[Age]]&lt;=35,"26-35",credit[[#This Row],[Age]]&lt;=45,"36-45",credit[[#This Row],[Age]]&lt;=60,"46-60",TRUE,"60+")</f>
        <v>36-45</v>
      </c>
      <c r="C213" t="s">
        <v>14</v>
      </c>
      <c r="D213">
        <v>1</v>
      </c>
      <c r="E213" t="s">
        <v>10</v>
      </c>
      <c r="F213" t="s">
        <v>11</v>
      </c>
      <c r="G213" t="s">
        <v>11</v>
      </c>
      <c r="H213">
        <v>3835</v>
      </c>
      <c r="I213">
        <v>36</v>
      </c>
      <c r="J213" t="s">
        <v>13</v>
      </c>
      <c r="K213" t="str">
        <f>IF(AND(credit[[#This Row],[Credit amount]]&gt;9000,credit[[#This Row],[Saving accounts]]="little"),"High","Low")</f>
        <v>Low</v>
      </c>
    </row>
    <row r="214" spans="1:11" x14ac:dyDescent="0.25">
      <c r="A214">
        <v>50</v>
      </c>
      <c r="B214" s="13" t="str" cm="1">
        <f t="array" ref="B214">_xlfn.IFS(credit[[#This Row],[Age]]&lt;=25,"18-25",credit[[#This Row],[Age]]&lt;=35,"26-35",credit[[#This Row],[Age]]&lt;=45,"36-45",credit[[#This Row],[Age]]&lt;=60,"46-60",TRUE,"60+")</f>
        <v>46-60</v>
      </c>
      <c r="C214" t="s">
        <v>9</v>
      </c>
      <c r="D214">
        <v>2</v>
      </c>
      <c r="E214" t="s">
        <v>10</v>
      </c>
      <c r="F214" t="s">
        <v>12</v>
      </c>
      <c r="G214" t="s">
        <v>12</v>
      </c>
      <c r="H214">
        <v>5293</v>
      </c>
      <c r="I214">
        <v>27</v>
      </c>
      <c r="J214" t="s">
        <v>23</v>
      </c>
      <c r="K214" t="str">
        <f>IF(AND(credit[[#This Row],[Credit amount]]&gt;9000,credit[[#This Row],[Saving accounts]]="little"),"High","Low")</f>
        <v>Low</v>
      </c>
    </row>
    <row r="215" spans="1:11" x14ac:dyDescent="0.25">
      <c r="A215">
        <v>66</v>
      </c>
      <c r="B215" s="13" t="str" cm="1">
        <f t="array" ref="B215">_xlfn.IFS(credit[[#This Row],[Age]]&lt;=25,"18-25",credit[[#This Row],[Age]]&lt;=35,"26-35",credit[[#This Row],[Age]]&lt;=45,"36-45",credit[[#This Row],[Age]]&lt;=60,"46-60",TRUE,"60+")</f>
        <v>60+</v>
      </c>
      <c r="C215" t="s">
        <v>9</v>
      </c>
      <c r="D215">
        <v>3</v>
      </c>
      <c r="E215" t="s">
        <v>10</v>
      </c>
      <c r="F215" t="s">
        <v>12</v>
      </c>
      <c r="G215" t="s">
        <v>22</v>
      </c>
      <c r="H215">
        <v>1908</v>
      </c>
      <c r="I215">
        <v>30</v>
      </c>
      <c r="J215" t="s">
        <v>23</v>
      </c>
      <c r="K215" t="str">
        <f>IF(AND(credit[[#This Row],[Credit amount]]&gt;9000,credit[[#This Row],[Saving accounts]]="little"),"High","Low")</f>
        <v>Low</v>
      </c>
    </row>
    <row r="216" spans="1:11" x14ac:dyDescent="0.25">
      <c r="A216">
        <v>51</v>
      </c>
      <c r="B216" s="13" t="str" cm="1">
        <f t="array" ref="B216">_xlfn.IFS(credit[[#This Row],[Age]]&lt;=25,"18-25",credit[[#This Row],[Age]]&lt;=35,"26-35",credit[[#This Row],[Age]]&lt;=45,"36-45",credit[[#This Row],[Age]]&lt;=60,"46-60",TRUE,"60+")</f>
        <v>46-60</v>
      </c>
      <c r="C216" t="s">
        <v>9</v>
      </c>
      <c r="D216">
        <v>2</v>
      </c>
      <c r="E216" t="s">
        <v>10</v>
      </c>
      <c r="F216" t="s">
        <v>11</v>
      </c>
      <c r="G216" t="s">
        <v>11</v>
      </c>
      <c r="H216">
        <v>3342</v>
      </c>
      <c r="I216">
        <v>36</v>
      </c>
      <c r="J216" t="s">
        <v>13</v>
      </c>
      <c r="K216" t="str">
        <f>IF(AND(credit[[#This Row],[Credit amount]]&gt;9000,credit[[#This Row],[Saving accounts]]="little"),"High","Low")</f>
        <v>Low</v>
      </c>
    </row>
    <row r="217" spans="1:11" x14ac:dyDescent="0.25">
      <c r="A217">
        <v>39</v>
      </c>
      <c r="B217" s="13" t="str" cm="1">
        <f t="array" ref="B217">_xlfn.IFS(credit[[#This Row],[Age]]&lt;=25,"18-25",credit[[#This Row],[Age]]&lt;=35,"26-35",credit[[#This Row],[Age]]&lt;=45,"36-45",credit[[#This Row],[Age]]&lt;=60,"46-60",TRUE,"60+")</f>
        <v>36-45</v>
      </c>
      <c r="C217" t="s">
        <v>14</v>
      </c>
      <c r="D217">
        <v>1</v>
      </c>
      <c r="E217" t="s">
        <v>10</v>
      </c>
      <c r="F217" t="s">
        <v>11</v>
      </c>
      <c r="G217" t="s">
        <v>15</v>
      </c>
      <c r="H217">
        <v>932</v>
      </c>
      <c r="I217">
        <v>6</v>
      </c>
      <c r="J217" t="s">
        <v>16</v>
      </c>
      <c r="K217" t="str">
        <f>IF(AND(credit[[#This Row],[Credit amount]]&gt;9000,credit[[#This Row],[Saving accounts]]="little"),"High","Low")</f>
        <v>Low</v>
      </c>
    </row>
    <row r="218" spans="1:11" x14ac:dyDescent="0.25">
      <c r="A218">
        <v>31</v>
      </c>
      <c r="B218" s="13" t="str" cm="1">
        <f t="array" ref="B218">_xlfn.IFS(credit[[#This Row],[Age]]&lt;=25,"18-25",credit[[#This Row],[Age]]&lt;=35,"26-35",credit[[#This Row],[Age]]&lt;=45,"36-45",credit[[#This Row],[Age]]&lt;=60,"46-60",TRUE,"60+")</f>
        <v>26-35</v>
      </c>
      <c r="C218" t="s">
        <v>9</v>
      </c>
      <c r="D218">
        <v>2</v>
      </c>
      <c r="E218" t="s">
        <v>10</v>
      </c>
      <c r="F218" t="s">
        <v>12</v>
      </c>
      <c r="G218" t="s">
        <v>12</v>
      </c>
      <c r="H218">
        <v>3104</v>
      </c>
      <c r="I218">
        <v>18</v>
      </c>
      <c r="J218" t="s">
        <v>23</v>
      </c>
      <c r="K218" t="str">
        <f>IF(AND(credit[[#This Row],[Credit amount]]&gt;9000,credit[[#This Row],[Saving accounts]]="little"),"High","Low")</f>
        <v>Low</v>
      </c>
    </row>
    <row r="219" spans="1:11" x14ac:dyDescent="0.25">
      <c r="A219">
        <v>23</v>
      </c>
      <c r="B219" s="13" t="str" cm="1">
        <f t="array" ref="B219">_xlfn.IFS(credit[[#This Row],[Age]]&lt;=25,"18-25",credit[[#This Row],[Age]]&lt;=35,"26-35",credit[[#This Row],[Age]]&lt;=45,"36-45",credit[[#This Row],[Age]]&lt;=60,"46-60",TRUE,"60+")</f>
        <v>18-25</v>
      </c>
      <c r="C219" t="s">
        <v>9</v>
      </c>
      <c r="D219">
        <v>2</v>
      </c>
      <c r="E219" t="s">
        <v>10</v>
      </c>
      <c r="F219" t="s">
        <v>12</v>
      </c>
      <c r="G219" t="s">
        <v>22</v>
      </c>
      <c r="H219">
        <v>3913</v>
      </c>
      <c r="I219">
        <v>36</v>
      </c>
      <c r="J219" t="s">
        <v>13</v>
      </c>
      <c r="K219" t="str">
        <f>IF(AND(credit[[#This Row],[Credit amount]]&gt;9000,credit[[#This Row],[Saving accounts]]="little"),"High","Low")</f>
        <v>Low</v>
      </c>
    </row>
    <row r="220" spans="1:11" x14ac:dyDescent="0.25">
      <c r="A220">
        <v>24</v>
      </c>
      <c r="B220" s="13" t="str" cm="1">
        <f t="array" ref="B220">_xlfn.IFS(credit[[#This Row],[Age]]&lt;=25,"18-25",credit[[#This Row],[Age]]&lt;=35,"26-35",credit[[#This Row],[Age]]&lt;=45,"36-45",credit[[#This Row],[Age]]&lt;=60,"46-60",TRUE,"60+")</f>
        <v>18-25</v>
      </c>
      <c r="C220" t="s">
        <v>9</v>
      </c>
      <c r="D220">
        <v>1</v>
      </c>
      <c r="E220" t="s">
        <v>21</v>
      </c>
      <c r="F220" t="s">
        <v>12</v>
      </c>
      <c r="G220" t="s">
        <v>12</v>
      </c>
      <c r="H220">
        <v>3021</v>
      </c>
      <c r="I220">
        <v>24</v>
      </c>
      <c r="J220" t="s">
        <v>18</v>
      </c>
      <c r="K220" t="str">
        <f>IF(AND(credit[[#This Row],[Credit amount]]&gt;9000,credit[[#This Row],[Saving accounts]]="little"),"High","Low")</f>
        <v>Low</v>
      </c>
    </row>
    <row r="221" spans="1:11" x14ac:dyDescent="0.25">
      <c r="A221">
        <v>64</v>
      </c>
      <c r="B221" s="13" t="str" cm="1">
        <f t="array" ref="B221">_xlfn.IFS(credit[[#This Row],[Age]]&lt;=25,"18-25",credit[[#This Row],[Age]]&lt;=35,"26-35",credit[[#This Row],[Age]]&lt;=45,"36-45",credit[[#This Row],[Age]]&lt;=60,"46-60",TRUE,"60+")</f>
        <v>60+</v>
      </c>
      <c r="C221" t="s">
        <v>14</v>
      </c>
      <c r="D221">
        <v>2</v>
      </c>
      <c r="E221" t="s">
        <v>10</v>
      </c>
      <c r="F221" t="s">
        <v>12</v>
      </c>
      <c r="G221" t="s">
        <v>11</v>
      </c>
      <c r="H221">
        <v>1364</v>
      </c>
      <c r="I221">
        <v>10</v>
      </c>
      <c r="J221" t="s">
        <v>19</v>
      </c>
      <c r="K221" t="str">
        <f>IF(AND(credit[[#This Row],[Credit amount]]&gt;9000,credit[[#This Row],[Saving accounts]]="little"),"High","Low")</f>
        <v>Low</v>
      </c>
    </row>
    <row r="222" spans="1:11" x14ac:dyDescent="0.25">
      <c r="A222">
        <v>26</v>
      </c>
      <c r="B222" s="13" t="str" cm="1">
        <f t="array" ref="B222">_xlfn.IFS(credit[[#This Row],[Age]]&lt;=25,"18-25",credit[[#This Row],[Age]]&lt;=35,"26-35",credit[[#This Row],[Age]]&lt;=45,"36-45",credit[[#This Row],[Age]]&lt;=60,"46-60",TRUE,"60+")</f>
        <v>26-35</v>
      </c>
      <c r="C222" t="s">
        <v>9</v>
      </c>
      <c r="D222">
        <v>1</v>
      </c>
      <c r="E222" t="s">
        <v>10</v>
      </c>
      <c r="F222" t="s">
        <v>12</v>
      </c>
      <c r="G222" t="s">
        <v>15</v>
      </c>
      <c r="H222">
        <v>625</v>
      </c>
      <c r="I222">
        <v>12</v>
      </c>
      <c r="J222" t="s">
        <v>13</v>
      </c>
      <c r="K222" t="str">
        <f>IF(AND(credit[[#This Row],[Credit amount]]&gt;9000,credit[[#This Row],[Saving accounts]]="little"),"High","Low")</f>
        <v>Low</v>
      </c>
    </row>
    <row r="223" spans="1:11" x14ac:dyDescent="0.25">
      <c r="A223">
        <v>23</v>
      </c>
      <c r="B223" s="13" t="str" cm="1">
        <f t="array" ref="B223">_xlfn.IFS(credit[[#This Row],[Age]]&lt;=25,"18-25",credit[[#This Row],[Age]]&lt;=35,"26-35",credit[[#This Row],[Age]]&lt;=45,"36-45",credit[[#This Row],[Age]]&lt;=60,"46-60",TRUE,"60+")</f>
        <v>18-25</v>
      </c>
      <c r="C223" t="s">
        <v>14</v>
      </c>
      <c r="D223">
        <v>2</v>
      </c>
      <c r="E223" t="s">
        <v>21</v>
      </c>
      <c r="F223" t="s">
        <v>11</v>
      </c>
      <c r="G223" t="s">
        <v>12</v>
      </c>
      <c r="H223">
        <v>1200</v>
      </c>
      <c r="I223">
        <v>12</v>
      </c>
      <c r="J223" t="s">
        <v>16</v>
      </c>
      <c r="K223" t="str">
        <f>IF(AND(credit[[#This Row],[Credit amount]]&gt;9000,credit[[#This Row],[Saving accounts]]="little"),"High","Low")</f>
        <v>Low</v>
      </c>
    </row>
    <row r="224" spans="1:11" x14ac:dyDescent="0.25">
      <c r="A224">
        <v>30</v>
      </c>
      <c r="B224" s="13" t="str" cm="1">
        <f t="array" ref="B224">_xlfn.IFS(credit[[#This Row],[Age]]&lt;=25,"18-25",credit[[#This Row],[Age]]&lt;=35,"26-35",credit[[#This Row],[Age]]&lt;=45,"36-45",credit[[#This Row],[Age]]&lt;=60,"46-60",TRUE,"60+")</f>
        <v>26-35</v>
      </c>
      <c r="C224" t="s">
        <v>9</v>
      </c>
      <c r="D224">
        <v>2</v>
      </c>
      <c r="E224" t="s">
        <v>10</v>
      </c>
      <c r="F224" t="s">
        <v>12</v>
      </c>
      <c r="G224" t="s">
        <v>11</v>
      </c>
      <c r="H224">
        <v>707</v>
      </c>
      <c r="I224">
        <v>12</v>
      </c>
      <c r="J224" t="s">
        <v>13</v>
      </c>
      <c r="K224" t="str">
        <f>IF(AND(credit[[#This Row],[Credit amount]]&gt;9000,credit[[#This Row],[Saving accounts]]="little"),"High","Low")</f>
        <v>Low</v>
      </c>
    </row>
    <row r="225" spans="1:11" x14ac:dyDescent="0.25">
      <c r="A225">
        <v>32</v>
      </c>
      <c r="B225" s="13" t="str" cm="1">
        <f t="array" ref="B225">_xlfn.IFS(credit[[#This Row],[Age]]&lt;=25,"18-25",credit[[#This Row],[Age]]&lt;=35,"26-35",credit[[#This Row],[Age]]&lt;=45,"36-45",credit[[#This Row],[Age]]&lt;=60,"46-60",TRUE,"60+")</f>
        <v>26-35</v>
      </c>
      <c r="C225" t="s">
        <v>9</v>
      </c>
      <c r="D225">
        <v>2</v>
      </c>
      <c r="E225" t="s">
        <v>10</v>
      </c>
      <c r="F225" t="s">
        <v>11</v>
      </c>
      <c r="G225" t="s">
        <v>11</v>
      </c>
      <c r="H225">
        <v>2978</v>
      </c>
      <c r="I225">
        <v>24</v>
      </c>
      <c r="J225" t="s">
        <v>23</v>
      </c>
      <c r="K225" t="str">
        <f>IF(AND(credit[[#This Row],[Credit amount]]&gt;9000,credit[[#This Row],[Saving accounts]]="little"),"High","Low")</f>
        <v>Low</v>
      </c>
    </row>
    <row r="226" spans="1:11" x14ac:dyDescent="0.25">
      <c r="A226">
        <v>30</v>
      </c>
      <c r="B226" s="13" t="str" cm="1">
        <f t="array" ref="B226">_xlfn.IFS(credit[[#This Row],[Age]]&lt;=25,"18-25",credit[[#This Row],[Age]]&lt;=35,"26-35",credit[[#This Row],[Age]]&lt;=45,"36-45",credit[[#This Row],[Age]]&lt;=60,"46-60",TRUE,"60+")</f>
        <v>26-35</v>
      </c>
      <c r="C226" t="s">
        <v>9</v>
      </c>
      <c r="D226">
        <v>2</v>
      </c>
      <c r="E226" t="s">
        <v>10</v>
      </c>
      <c r="F226" t="s">
        <v>12</v>
      </c>
      <c r="G226" t="s">
        <v>11</v>
      </c>
      <c r="H226">
        <v>4657</v>
      </c>
      <c r="I226">
        <v>15</v>
      </c>
      <c r="J226" t="s">
        <v>19</v>
      </c>
      <c r="K226" t="str">
        <f>IF(AND(credit[[#This Row],[Credit amount]]&gt;9000,credit[[#This Row],[Saving accounts]]="little"),"High","Low")</f>
        <v>Low</v>
      </c>
    </row>
    <row r="227" spans="1:11" x14ac:dyDescent="0.25">
      <c r="A227">
        <v>27</v>
      </c>
      <c r="B227" s="13" t="str" cm="1">
        <f t="array" ref="B227">_xlfn.IFS(credit[[#This Row],[Age]]&lt;=25,"18-25",credit[[#This Row],[Age]]&lt;=35,"26-35",credit[[#This Row],[Age]]&lt;=45,"36-45",credit[[#This Row],[Age]]&lt;=60,"46-60",TRUE,"60+")</f>
        <v>26-35</v>
      </c>
      <c r="C227" t="s">
        <v>9</v>
      </c>
      <c r="D227">
        <v>2</v>
      </c>
      <c r="E227" t="s">
        <v>10</v>
      </c>
      <c r="F227" t="s">
        <v>12</v>
      </c>
      <c r="G227" t="s">
        <v>11</v>
      </c>
      <c r="H227">
        <v>2613</v>
      </c>
      <c r="I227">
        <v>36</v>
      </c>
      <c r="J227" t="s">
        <v>25</v>
      </c>
      <c r="K227" t="str">
        <f>IF(AND(credit[[#This Row],[Credit amount]]&gt;9000,credit[[#This Row],[Saving accounts]]="little"),"High","Low")</f>
        <v>Low</v>
      </c>
    </row>
    <row r="228" spans="1:11" x14ac:dyDescent="0.25">
      <c r="A228">
        <v>27</v>
      </c>
      <c r="B228" s="13" t="str" cm="1">
        <f t="array" ref="B228">_xlfn.IFS(credit[[#This Row],[Age]]&lt;=25,"18-25",credit[[#This Row],[Age]]&lt;=35,"26-35",credit[[#This Row],[Age]]&lt;=45,"36-45",credit[[#This Row],[Age]]&lt;=60,"46-60",TRUE,"60+")</f>
        <v>26-35</v>
      </c>
      <c r="C228" t="s">
        <v>9</v>
      </c>
      <c r="D228">
        <v>2</v>
      </c>
      <c r="E228" t="s">
        <v>10</v>
      </c>
      <c r="F228" t="s">
        <v>22</v>
      </c>
      <c r="G228" t="s">
        <v>15</v>
      </c>
      <c r="H228">
        <v>10961</v>
      </c>
      <c r="I228">
        <v>48</v>
      </c>
      <c r="J228" t="s">
        <v>13</v>
      </c>
      <c r="K228" t="str">
        <f>IF(AND(credit[[#This Row],[Credit amount]]&gt;9000,credit[[#This Row],[Saving accounts]]="little"),"High","Low")</f>
        <v>Low</v>
      </c>
    </row>
    <row r="229" spans="1:11" x14ac:dyDescent="0.25">
      <c r="A229">
        <v>53</v>
      </c>
      <c r="B229" s="13" t="str" cm="1">
        <f t="array" ref="B229">_xlfn.IFS(credit[[#This Row],[Age]]&lt;=25,"18-25",credit[[#This Row],[Age]]&lt;=35,"26-35",credit[[#This Row],[Age]]&lt;=45,"36-45",credit[[#This Row],[Age]]&lt;=60,"46-60",TRUE,"60+")</f>
        <v>46-60</v>
      </c>
      <c r="C229" t="s">
        <v>9</v>
      </c>
      <c r="D229">
        <v>3</v>
      </c>
      <c r="E229" t="s">
        <v>17</v>
      </c>
      <c r="F229" t="s">
        <v>12</v>
      </c>
      <c r="G229" t="s">
        <v>12</v>
      </c>
      <c r="H229">
        <v>7865</v>
      </c>
      <c r="I229">
        <v>12</v>
      </c>
      <c r="J229" t="s">
        <v>18</v>
      </c>
      <c r="K229" t="str">
        <f>IF(AND(credit[[#This Row],[Credit amount]]&gt;9000,credit[[#This Row],[Saving accounts]]="little"),"High","Low")</f>
        <v>Low</v>
      </c>
    </row>
    <row r="230" spans="1:11" x14ac:dyDescent="0.25">
      <c r="A230">
        <v>22</v>
      </c>
      <c r="B230" s="13" t="str" cm="1">
        <f t="array" ref="B230">_xlfn.IFS(credit[[#This Row],[Age]]&lt;=25,"18-25",credit[[#This Row],[Age]]&lt;=35,"26-35",credit[[#This Row],[Age]]&lt;=45,"36-45",credit[[#This Row],[Age]]&lt;=60,"46-60",TRUE,"60+")</f>
        <v>18-25</v>
      </c>
      <c r="C230" t="s">
        <v>9</v>
      </c>
      <c r="D230">
        <v>2</v>
      </c>
      <c r="E230" t="s">
        <v>10</v>
      </c>
      <c r="F230" t="s">
        <v>12</v>
      </c>
      <c r="G230" t="s">
        <v>11</v>
      </c>
      <c r="H230">
        <v>1478</v>
      </c>
      <c r="I230">
        <v>9</v>
      </c>
      <c r="J230" t="s">
        <v>13</v>
      </c>
      <c r="K230" t="str">
        <f>IF(AND(credit[[#This Row],[Credit amount]]&gt;9000,credit[[#This Row],[Saving accounts]]="little"),"High","Low")</f>
        <v>Low</v>
      </c>
    </row>
    <row r="231" spans="1:11" x14ac:dyDescent="0.25">
      <c r="A231">
        <v>22</v>
      </c>
      <c r="B231" s="13" t="str" cm="1">
        <f t="array" ref="B231">_xlfn.IFS(credit[[#This Row],[Age]]&lt;=25,"18-25",credit[[#This Row],[Age]]&lt;=35,"26-35",credit[[#This Row],[Age]]&lt;=45,"36-45",credit[[#This Row],[Age]]&lt;=60,"46-60",TRUE,"60+")</f>
        <v>18-25</v>
      </c>
      <c r="C231" t="s">
        <v>9</v>
      </c>
      <c r="D231">
        <v>2</v>
      </c>
      <c r="E231" t="s">
        <v>17</v>
      </c>
      <c r="F231" t="s">
        <v>12</v>
      </c>
      <c r="G231" t="s">
        <v>12</v>
      </c>
      <c r="H231">
        <v>3149</v>
      </c>
      <c r="I231">
        <v>24</v>
      </c>
      <c r="J231" t="s">
        <v>18</v>
      </c>
      <c r="K231" t="str">
        <f>IF(AND(credit[[#This Row],[Credit amount]]&gt;9000,credit[[#This Row],[Saving accounts]]="little"),"High","Low")</f>
        <v>Low</v>
      </c>
    </row>
    <row r="232" spans="1:11" x14ac:dyDescent="0.25">
      <c r="A232">
        <v>26</v>
      </c>
      <c r="B232" s="13" t="str" cm="1">
        <f t="array" ref="B232">_xlfn.IFS(credit[[#This Row],[Age]]&lt;=25,"18-25",credit[[#This Row],[Age]]&lt;=35,"26-35",credit[[#This Row],[Age]]&lt;=45,"36-45",credit[[#This Row],[Age]]&lt;=60,"46-60",TRUE,"60+")</f>
        <v>26-35</v>
      </c>
      <c r="C232" t="s">
        <v>9</v>
      </c>
      <c r="D232">
        <v>2</v>
      </c>
      <c r="E232" t="s">
        <v>10</v>
      </c>
      <c r="F232" t="s">
        <v>12</v>
      </c>
      <c r="G232" t="s">
        <v>22</v>
      </c>
      <c r="H232">
        <v>4210</v>
      </c>
      <c r="I232">
        <v>36</v>
      </c>
      <c r="J232" t="s">
        <v>13</v>
      </c>
      <c r="K232" t="str">
        <f>IF(AND(credit[[#This Row],[Credit amount]]&gt;9000,credit[[#This Row],[Saving accounts]]="little"),"High","Low")</f>
        <v>Low</v>
      </c>
    </row>
    <row r="233" spans="1:11" x14ac:dyDescent="0.25">
      <c r="A233">
        <v>51</v>
      </c>
      <c r="B233" s="13" t="str" cm="1">
        <f t="array" ref="B233">_xlfn.IFS(credit[[#This Row],[Age]]&lt;=25,"18-25",credit[[#This Row],[Age]]&lt;=35,"26-35",credit[[#This Row],[Age]]&lt;=45,"36-45",credit[[#This Row],[Age]]&lt;=60,"46-60",TRUE,"60+")</f>
        <v>46-60</v>
      </c>
      <c r="C233" t="s">
        <v>9</v>
      </c>
      <c r="D233">
        <v>1</v>
      </c>
      <c r="E233" t="s">
        <v>17</v>
      </c>
      <c r="F233" t="s">
        <v>20</v>
      </c>
      <c r="G233" t="s">
        <v>11</v>
      </c>
      <c r="H233">
        <v>2507</v>
      </c>
      <c r="I233">
        <v>9</v>
      </c>
      <c r="J233" t="s">
        <v>19</v>
      </c>
      <c r="K233" t="str">
        <f>IF(AND(credit[[#This Row],[Credit amount]]&gt;9000,credit[[#This Row],[Saving accounts]]="little"),"High","Low")</f>
        <v>Low</v>
      </c>
    </row>
    <row r="234" spans="1:11" x14ac:dyDescent="0.25">
      <c r="A234">
        <v>35</v>
      </c>
      <c r="B234" s="13" t="str" cm="1">
        <f t="array" ref="B234">_xlfn.IFS(credit[[#This Row],[Age]]&lt;=25,"18-25",credit[[#This Row],[Age]]&lt;=35,"26-35",credit[[#This Row],[Age]]&lt;=45,"36-45",credit[[#This Row],[Age]]&lt;=60,"46-60",TRUE,"60+")</f>
        <v>26-35</v>
      </c>
      <c r="C234" t="s">
        <v>9</v>
      </c>
      <c r="D234">
        <v>2</v>
      </c>
      <c r="E234" t="s">
        <v>10</v>
      </c>
      <c r="F234" t="s">
        <v>15</v>
      </c>
      <c r="G234" t="s">
        <v>11</v>
      </c>
      <c r="H234">
        <v>2141</v>
      </c>
      <c r="I234">
        <v>12</v>
      </c>
      <c r="J234" t="s">
        <v>13</v>
      </c>
      <c r="K234" t="str">
        <f>IF(AND(credit[[#This Row],[Credit amount]]&gt;9000,credit[[#This Row],[Saving accounts]]="little"),"High","Low")</f>
        <v>Low</v>
      </c>
    </row>
    <row r="235" spans="1:11" x14ac:dyDescent="0.25">
      <c r="A235">
        <v>25</v>
      </c>
      <c r="B235" s="13" t="str" cm="1">
        <f t="array" ref="B235">_xlfn.IFS(credit[[#This Row],[Age]]&lt;=25,"18-25",credit[[#This Row],[Age]]&lt;=35,"26-35",credit[[#This Row],[Age]]&lt;=45,"36-45",credit[[#This Row],[Age]]&lt;=60,"46-60",TRUE,"60+")</f>
        <v>18-25</v>
      </c>
      <c r="C235" t="s">
        <v>9</v>
      </c>
      <c r="D235">
        <v>1</v>
      </c>
      <c r="E235" t="s">
        <v>10</v>
      </c>
      <c r="F235" t="s">
        <v>12</v>
      </c>
      <c r="G235" t="s">
        <v>15</v>
      </c>
      <c r="H235">
        <v>866</v>
      </c>
      <c r="I235">
        <v>18</v>
      </c>
      <c r="J235" t="s">
        <v>13</v>
      </c>
      <c r="K235" t="str">
        <f>IF(AND(credit[[#This Row],[Credit amount]]&gt;9000,credit[[#This Row],[Saving accounts]]="little"),"High","Low")</f>
        <v>Low</v>
      </c>
    </row>
    <row r="236" spans="1:11" x14ac:dyDescent="0.25">
      <c r="A236">
        <v>42</v>
      </c>
      <c r="B236" s="13" t="str" cm="1">
        <f t="array" ref="B236">_xlfn.IFS(credit[[#This Row],[Age]]&lt;=25,"18-25",credit[[#This Row],[Age]]&lt;=35,"26-35",credit[[#This Row],[Age]]&lt;=45,"36-45",credit[[#This Row],[Age]]&lt;=60,"46-60",TRUE,"60+")</f>
        <v>36-45</v>
      </c>
      <c r="C236" t="s">
        <v>9</v>
      </c>
      <c r="D236">
        <v>1</v>
      </c>
      <c r="E236" t="s">
        <v>10</v>
      </c>
      <c r="F236" t="s">
        <v>12</v>
      </c>
      <c r="G236" t="s">
        <v>11</v>
      </c>
      <c r="H236">
        <v>1544</v>
      </c>
      <c r="I236">
        <v>4</v>
      </c>
      <c r="J236" t="s">
        <v>13</v>
      </c>
      <c r="K236" t="str">
        <f>IF(AND(credit[[#This Row],[Credit amount]]&gt;9000,credit[[#This Row],[Saving accounts]]="little"),"High","Low")</f>
        <v>Low</v>
      </c>
    </row>
    <row r="237" spans="1:11" x14ac:dyDescent="0.25">
      <c r="A237">
        <v>30</v>
      </c>
      <c r="B237" s="13" t="str" cm="1">
        <f t="array" ref="B237">_xlfn.IFS(credit[[#This Row],[Age]]&lt;=25,"18-25",credit[[#This Row],[Age]]&lt;=35,"26-35",credit[[#This Row],[Age]]&lt;=45,"36-45",credit[[#This Row],[Age]]&lt;=60,"46-60",TRUE,"60+")</f>
        <v>26-35</v>
      </c>
      <c r="C237" t="s">
        <v>9</v>
      </c>
      <c r="D237">
        <v>3</v>
      </c>
      <c r="E237" t="s">
        <v>10</v>
      </c>
      <c r="F237" t="s">
        <v>12</v>
      </c>
      <c r="G237" t="s">
        <v>12</v>
      </c>
      <c r="H237">
        <v>1823</v>
      </c>
      <c r="I237">
        <v>24</v>
      </c>
      <c r="J237" t="s">
        <v>13</v>
      </c>
      <c r="K237" t="str">
        <f>IF(AND(credit[[#This Row],[Credit amount]]&gt;9000,credit[[#This Row],[Saving accounts]]="little"),"High","Low")</f>
        <v>Low</v>
      </c>
    </row>
    <row r="238" spans="1:11" x14ac:dyDescent="0.25">
      <c r="A238">
        <v>23</v>
      </c>
      <c r="B238" s="13" t="str" cm="1">
        <f t="array" ref="B238">_xlfn.IFS(credit[[#This Row],[Age]]&lt;=25,"18-25",credit[[#This Row],[Age]]&lt;=35,"26-35",credit[[#This Row],[Age]]&lt;=45,"36-45",credit[[#This Row],[Age]]&lt;=60,"46-60",TRUE,"60+")</f>
        <v>18-25</v>
      </c>
      <c r="C238" t="s">
        <v>9</v>
      </c>
      <c r="D238">
        <v>0</v>
      </c>
      <c r="E238" t="s">
        <v>10</v>
      </c>
      <c r="F238" t="s">
        <v>11</v>
      </c>
      <c r="G238" t="s">
        <v>15</v>
      </c>
      <c r="H238">
        <v>14555</v>
      </c>
      <c r="I238">
        <v>6</v>
      </c>
      <c r="J238" t="s">
        <v>19</v>
      </c>
      <c r="K238" t="str">
        <f>IF(AND(credit[[#This Row],[Credit amount]]&gt;9000,credit[[#This Row],[Saving accounts]]="little"),"High","Low")</f>
        <v>Low</v>
      </c>
    </row>
    <row r="239" spans="1:11" x14ac:dyDescent="0.25">
      <c r="A239">
        <v>61</v>
      </c>
      <c r="B239" s="13" t="str" cm="1">
        <f t="array" ref="B239">_xlfn.IFS(credit[[#This Row],[Age]]&lt;=25,"18-25",credit[[#This Row],[Age]]&lt;=35,"26-35",credit[[#This Row],[Age]]&lt;=45,"36-45",credit[[#This Row],[Age]]&lt;=60,"46-60",TRUE,"60+")</f>
        <v>60+</v>
      </c>
      <c r="C239" t="s">
        <v>9</v>
      </c>
      <c r="D239">
        <v>1</v>
      </c>
      <c r="E239" t="s">
        <v>21</v>
      </c>
      <c r="F239" t="s">
        <v>15</v>
      </c>
      <c r="G239" t="s">
        <v>15</v>
      </c>
      <c r="H239">
        <v>2767</v>
      </c>
      <c r="I239">
        <v>21</v>
      </c>
      <c r="J239" t="s">
        <v>23</v>
      </c>
      <c r="K239" t="str">
        <f>IF(AND(credit[[#This Row],[Credit amount]]&gt;9000,credit[[#This Row],[Saving accounts]]="little"),"High","Low")</f>
        <v>Low</v>
      </c>
    </row>
    <row r="240" spans="1:11" x14ac:dyDescent="0.25">
      <c r="A240">
        <v>35</v>
      </c>
      <c r="B240" s="13" t="str" cm="1">
        <f t="array" ref="B240">_xlfn.IFS(credit[[#This Row],[Age]]&lt;=25,"18-25",credit[[#This Row],[Age]]&lt;=35,"26-35",credit[[#This Row],[Age]]&lt;=45,"36-45",credit[[#This Row],[Age]]&lt;=60,"46-60",TRUE,"60+")</f>
        <v>26-35</v>
      </c>
      <c r="C240" t="s">
        <v>14</v>
      </c>
      <c r="D240">
        <v>2</v>
      </c>
      <c r="E240" t="s">
        <v>10</v>
      </c>
      <c r="F240" t="s">
        <v>12</v>
      </c>
      <c r="G240" t="s">
        <v>11</v>
      </c>
      <c r="H240">
        <v>1291</v>
      </c>
      <c r="I240">
        <v>12</v>
      </c>
      <c r="J240" t="s">
        <v>13</v>
      </c>
      <c r="K240" t="str">
        <f>IF(AND(credit[[#This Row],[Credit amount]]&gt;9000,credit[[#This Row],[Saving accounts]]="little"),"High","Low")</f>
        <v>Low</v>
      </c>
    </row>
    <row r="241" spans="1:11" x14ac:dyDescent="0.25">
      <c r="A241">
        <v>39</v>
      </c>
      <c r="B241" s="13" t="str" cm="1">
        <f t="array" ref="B241">_xlfn.IFS(credit[[#This Row],[Age]]&lt;=25,"18-25",credit[[#This Row],[Age]]&lt;=35,"26-35",credit[[#This Row],[Age]]&lt;=45,"36-45",credit[[#This Row],[Age]]&lt;=60,"46-60",TRUE,"60+")</f>
        <v>36-45</v>
      </c>
      <c r="C241" t="s">
        <v>9</v>
      </c>
      <c r="D241">
        <v>2</v>
      </c>
      <c r="E241" t="s">
        <v>10</v>
      </c>
      <c r="F241" t="s">
        <v>12</v>
      </c>
      <c r="G241" t="s">
        <v>12</v>
      </c>
      <c r="H241">
        <v>2522</v>
      </c>
      <c r="I241">
        <v>30</v>
      </c>
      <c r="J241" t="s">
        <v>13</v>
      </c>
      <c r="K241" t="str">
        <f>IF(AND(credit[[#This Row],[Credit amount]]&gt;9000,credit[[#This Row],[Saving accounts]]="little"),"High","Low")</f>
        <v>Low</v>
      </c>
    </row>
    <row r="242" spans="1:11" x14ac:dyDescent="0.25">
      <c r="A242">
        <v>29</v>
      </c>
      <c r="B242" s="13" t="str" cm="1">
        <f t="array" ref="B242">_xlfn.IFS(credit[[#This Row],[Age]]&lt;=25,"18-25",credit[[#This Row],[Age]]&lt;=35,"26-35",credit[[#This Row],[Age]]&lt;=45,"36-45",credit[[#This Row],[Age]]&lt;=60,"46-60",TRUE,"60+")</f>
        <v>26-35</v>
      </c>
      <c r="C242" t="s">
        <v>14</v>
      </c>
      <c r="D242">
        <v>2</v>
      </c>
      <c r="E242" t="s">
        <v>10</v>
      </c>
      <c r="F242" t="s">
        <v>11</v>
      </c>
      <c r="G242" t="s">
        <v>12</v>
      </c>
      <c r="H242">
        <v>915</v>
      </c>
      <c r="I242">
        <v>24</v>
      </c>
      <c r="J242" t="s">
        <v>19</v>
      </c>
      <c r="K242" t="str">
        <f>IF(AND(credit[[#This Row],[Credit amount]]&gt;9000,credit[[#This Row],[Saving accounts]]="little"),"High","Low")</f>
        <v>Low</v>
      </c>
    </row>
    <row r="243" spans="1:11" x14ac:dyDescent="0.25">
      <c r="A243">
        <v>51</v>
      </c>
      <c r="B243" s="13" t="str" cm="1">
        <f t="array" ref="B243">_xlfn.IFS(credit[[#This Row],[Age]]&lt;=25,"18-25",credit[[#This Row],[Age]]&lt;=35,"26-35",credit[[#This Row],[Age]]&lt;=45,"36-45",credit[[#This Row],[Age]]&lt;=60,"46-60",TRUE,"60+")</f>
        <v>46-60</v>
      </c>
      <c r="C243" t="s">
        <v>9</v>
      </c>
      <c r="D243">
        <v>2</v>
      </c>
      <c r="E243" t="s">
        <v>10</v>
      </c>
      <c r="F243" t="s">
        <v>12</v>
      </c>
      <c r="G243" t="s">
        <v>11</v>
      </c>
      <c r="H243">
        <v>1595</v>
      </c>
      <c r="I243">
        <v>6</v>
      </c>
      <c r="J243" t="s">
        <v>13</v>
      </c>
      <c r="K243" t="str">
        <f>IF(AND(credit[[#This Row],[Credit amount]]&gt;9000,credit[[#This Row],[Saving accounts]]="little"),"High","Low")</f>
        <v>Low</v>
      </c>
    </row>
    <row r="244" spans="1:11" x14ac:dyDescent="0.25">
      <c r="A244">
        <v>24</v>
      </c>
      <c r="B244" s="13" t="str" cm="1">
        <f t="array" ref="B244">_xlfn.IFS(credit[[#This Row],[Age]]&lt;=25,"18-25",credit[[#This Row],[Age]]&lt;=35,"26-35",credit[[#This Row],[Age]]&lt;=45,"36-45",credit[[#This Row],[Age]]&lt;=60,"46-60",TRUE,"60+")</f>
        <v>18-25</v>
      </c>
      <c r="C244" t="s">
        <v>9</v>
      </c>
      <c r="D244">
        <v>2</v>
      </c>
      <c r="E244" t="s">
        <v>17</v>
      </c>
      <c r="F244" t="s">
        <v>12</v>
      </c>
      <c r="G244" t="s">
        <v>12</v>
      </c>
      <c r="H244">
        <v>4605</v>
      </c>
      <c r="I244">
        <v>48</v>
      </c>
      <c r="J244" t="s">
        <v>19</v>
      </c>
      <c r="K244" t="str">
        <f>IF(AND(credit[[#This Row],[Credit amount]]&gt;9000,credit[[#This Row],[Saving accounts]]="little"),"High","Low")</f>
        <v>Low</v>
      </c>
    </row>
    <row r="245" spans="1:11" x14ac:dyDescent="0.25">
      <c r="A245">
        <v>27</v>
      </c>
      <c r="B245" s="13" t="str" cm="1">
        <f t="array" ref="B245">_xlfn.IFS(credit[[#This Row],[Age]]&lt;=25,"18-25",credit[[#This Row],[Age]]&lt;=35,"26-35",credit[[#This Row],[Age]]&lt;=45,"36-45",credit[[#This Row],[Age]]&lt;=60,"46-60",TRUE,"60+")</f>
        <v>26-35</v>
      </c>
      <c r="C245" t="s">
        <v>14</v>
      </c>
      <c r="D245">
        <v>2</v>
      </c>
      <c r="E245" t="s">
        <v>10</v>
      </c>
      <c r="F245" t="s">
        <v>12</v>
      </c>
      <c r="G245" t="s">
        <v>11</v>
      </c>
      <c r="H245">
        <v>1185</v>
      </c>
      <c r="I245">
        <v>12</v>
      </c>
      <c r="J245" t="s">
        <v>23</v>
      </c>
      <c r="K245" t="str">
        <f>IF(AND(credit[[#This Row],[Credit amount]]&gt;9000,credit[[#This Row],[Saving accounts]]="little"),"High","Low")</f>
        <v>Low</v>
      </c>
    </row>
    <row r="246" spans="1:11" x14ac:dyDescent="0.25">
      <c r="A246">
        <v>35</v>
      </c>
      <c r="B246" s="13" t="str" cm="1">
        <f t="array" ref="B246">_xlfn.IFS(credit[[#This Row],[Age]]&lt;=25,"18-25",credit[[#This Row],[Age]]&lt;=35,"26-35",credit[[#This Row],[Age]]&lt;=45,"36-45",credit[[#This Row],[Age]]&lt;=60,"46-60",TRUE,"60+")</f>
        <v>26-35</v>
      </c>
      <c r="C246" t="s">
        <v>14</v>
      </c>
      <c r="D246">
        <v>1</v>
      </c>
      <c r="E246" t="s">
        <v>10</v>
      </c>
      <c r="F246" t="s">
        <v>20</v>
      </c>
      <c r="G246" t="s">
        <v>11</v>
      </c>
      <c r="H246">
        <v>3447</v>
      </c>
      <c r="I246">
        <v>12</v>
      </c>
      <c r="J246" t="s">
        <v>16</v>
      </c>
      <c r="K246" t="str">
        <f>IF(AND(credit[[#This Row],[Credit amount]]&gt;9000,credit[[#This Row],[Saving accounts]]="little"),"High","Low")</f>
        <v>Low</v>
      </c>
    </row>
    <row r="247" spans="1:11" x14ac:dyDescent="0.25">
      <c r="A247">
        <v>25</v>
      </c>
      <c r="B247" s="13" t="str" cm="1">
        <f t="array" ref="B247">_xlfn.IFS(credit[[#This Row],[Age]]&lt;=25,"18-25",credit[[#This Row],[Age]]&lt;=35,"26-35",credit[[#This Row],[Age]]&lt;=45,"36-45",credit[[#This Row],[Age]]&lt;=60,"46-60",TRUE,"60+")</f>
        <v>18-25</v>
      </c>
      <c r="C247" t="s">
        <v>9</v>
      </c>
      <c r="D247">
        <v>2</v>
      </c>
      <c r="E247" t="s">
        <v>10</v>
      </c>
      <c r="F247" t="s">
        <v>12</v>
      </c>
      <c r="G247" t="s">
        <v>11</v>
      </c>
      <c r="H247">
        <v>1258</v>
      </c>
      <c r="I247">
        <v>24</v>
      </c>
      <c r="J247" t="s">
        <v>23</v>
      </c>
      <c r="K247" t="str">
        <f>IF(AND(credit[[#This Row],[Credit amount]]&gt;9000,credit[[#This Row],[Saving accounts]]="little"),"High","Low")</f>
        <v>Low</v>
      </c>
    </row>
    <row r="248" spans="1:11" x14ac:dyDescent="0.25">
      <c r="A248">
        <v>52</v>
      </c>
      <c r="B248" s="13" t="str" cm="1">
        <f t="array" ref="B248">_xlfn.IFS(credit[[#This Row],[Age]]&lt;=25,"18-25",credit[[#This Row],[Age]]&lt;=35,"26-35",credit[[#This Row],[Age]]&lt;=45,"36-45",credit[[#This Row],[Age]]&lt;=60,"46-60",TRUE,"60+")</f>
        <v>46-60</v>
      </c>
      <c r="C248" t="s">
        <v>9</v>
      </c>
      <c r="D248">
        <v>2</v>
      </c>
      <c r="E248" t="s">
        <v>10</v>
      </c>
      <c r="F248" t="s">
        <v>12</v>
      </c>
      <c r="G248" t="s">
        <v>11</v>
      </c>
      <c r="H248">
        <v>717</v>
      </c>
      <c r="I248">
        <v>12</v>
      </c>
      <c r="J248" t="s">
        <v>13</v>
      </c>
      <c r="K248" t="str">
        <f>IF(AND(credit[[#This Row],[Credit amount]]&gt;9000,credit[[#This Row],[Saving accounts]]="little"),"High","Low")</f>
        <v>Low</v>
      </c>
    </row>
    <row r="249" spans="1:11" x14ac:dyDescent="0.25">
      <c r="A249">
        <v>35</v>
      </c>
      <c r="B249" s="13" t="str" cm="1">
        <f t="array" ref="B249">_xlfn.IFS(credit[[#This Row],[Age]]&lt;=25,"18-25",credit[[#This Row],[Age]]&lt;=35,"26-35",credit[[#This Row],[Age]]&lt;=45,"36-45",credit[[#This Row],[Age]]&lt;=60,"46-60",TRUE,"60+")</f>
        <v>26-35</v>
      </c>
      <c r="C249" t="s">
        <v>9</v>
      </c>
      <c r="D249">
        <v>2</v>
      </c>
      <c r="E249" t="s">
        <v>21</v>
      </c>
      <c r="F249" t="s">
        <v>15</v>
      </c>
      <c r="G249" t="s">
        <v>11</v>
      </c>
      <c r="H249">
        <v>1204</v>
      </c>
      <c r="I249">
        <v>6</v>
      </c>
      <c r="J249" t="s">
        <v>19</v>
      </c>
      <c r="K249" t="str">
        <f>IF(AND(credit[[#This Row],[Credit amount]]&gt;9000,credit[[#This Row],[Saving accounts]]="little"),"High","Low")</f>
        <v>Low</v>
      </c>
    </row>
    <row r="250" spans="1:11" x14ac:dyDescent="0.25">
      <c r="A250">
        <v>26</v>
      </c>
      <c r="B250" s="13" t="str" cm="1">
        <f t="array" ref="B250">_xlfn.IFS(credit[[#This Row],[Age]]&lt;=25,"18-25",credit[[#This Row],[Age]]&lt;=35,"26-35",credit[[#This Row],[Age]]&lt;=45,"36-45",credit[[#This Row],[Age]]&lt;=60,"46-60",TRUE,"60+")</f>
        <v>26-35</v>
      </c>
      <c r="C250" t="s">
        <v>9</v>
      </c>
      <c r="D250">
        <v>2</v>
      </c>
      <c r="E250" t="s">
        <v>10</v>
      </c>
      <c r="F250" t="s">
        <v>12</v>
      </c>
      <c r="G250" t="s">
        <v>22</v>
      </c>
      <c r="H250">
        <v>1925</v>
      </c>
      <c r="I250">
        <v>24</v>
      </c>
      <c r="J250" t="s">
        <v>18</v>
      </c>
      <c r="K250" t="str">
        <f>IF(AND(credit[[#This Row],[Credit amount]]&gt;9000,credit[[#This Row],[Saving accounts]]="little"),"High","Low")</f>
        <v>Low</v>
      </c>
    </row>
    <row r="251" spans="1:11" x14ac:dyDescent="0.25">
      <c r="A251">
        <v>22</v>
      </c>
      <c r="B251" s="13" t="str" cm="1">
        <f t="array" ref="B251">_xlfn.IFS(credit[[#This Row],[Age]]&lt;=25,"18-25",credit[[#This Row],[Age]]&lt;=35,"26-35",credit[[#This Row],[Age]]&lt;=45,"36-45",credit[[#This Row],[Age]]&lt;=60,"46-60",TRUE,"60+")</f>
        <v>18-25</v>
      </c>
      <c r="C251" t="s">
        <v>14</v>
      </c>
      <c r="D251">
        <v>2</v>
      </c>
      <c r="E251" t="s">
        <v>21</v>
      </c>
      <c r="F251" t="s">
        <v>12</v>
      </c>
      <c r="G251" t="s">
        <v>11</v>
      </c>
      <c r="H251">
        <v>433</v>
      </c>
      <c r="I251">
        <v>18</v>
      </c>
      <c r="J251" t="s">
        <v>13</v>
      </c>
      <c r="K251" t="str">
        <f>IF(AND(credit[[#This Row],[Credit amount]]&gt;9000,credit[[#This Row],[Saving accounts]]="little"),"High","Low")</f>
        <v>Low</v>
      </c>
    </row>
    <row r="252" spans="1:11" x14ac:dyDescent="0.25">
      <c r="A252">
        <v>39</v>
      </c>
      <c r="B252" s="13" t="str" cm="1">
        <f t="array" ref="B252">_xlfn.IFS(credit[[#This Row],[Age]]&lt;=25,"18-25",credit[[#This Row],[Age]]&lt;=35,"26-35",credit[[#This Row],[Age]]&lt;=45,"36-45",credit[[#This Row],[Age]]&lt;=60,"46-60",TRUE,"60+")</f>
        <v>36-45</v>
      </c>
      <c r="C252" t="s">
        <v>14</v>
      </c>
      <c r="D252">
        <v>1</v>
      </c>
      <c r="E252" t="s">
        <v>10</v>
      </c>
      <c r="F252" t="s">
        <v>22</v>
      </c>
      <c r="G252" t="s">
        <v>12</v>
      </c>
      <c r="H252">
        <v>666</v>
      </c>
      <c r="I252">
        <v>6</v>
      </c>
      <c r="J252" t="s">
        <v>19</v>
      </c>
      <c r="K252" t="str">
        <f>IF(AND(credit[[#This Row],[Credit amount]]&gt;9000,credit[[#This Row],[Saving accounts]]="little"),"High","Low")</f>
        <v>Low</v>
      </c>
    </row>
    <row r="253" spans="1:11" x14ac:dyDescent="0.25">
      <c r="A253">
        <v>46</v>
      </c>
      <c r="B253" s="13" t="str" cm="1">
        <f t="array" ref="B253">_xlfn.IFS(credit[[#This Row],[Age]]&lt;=25,"18-25",credit[[#This Row],[Age]]&lt;=35,"26-35",credit[[#This Row],[Age]]&lt;=45,"36-45",credit[[#This Row],[Age]]&lt;=60,"46-60",TRUE,"60+")</f>
        <v>46-60</v>
      </c>
      <c r="C253" t="s">
        <v>14</v>
      </c>
      <c r="D253">
        <v>1</v>
      </c>
      <c r="E253" t="s">
        <v>10</v>
      </c>
      <c r="F253" t="s">
        <v>12</v>
      </c>
      <c r="G253" t="s">
        <v>22</v>
      </c>
      <c r="H253">
        <v>2251</v>
      </c>
      <c r="I253">
        <v>12</v>
      </c>
      <c r="J253" t="s">
        <v>18</v>
      </c>
      <c r="K253" t="str">
        <f>IF(AND(credit[[#This Row],[Credit amount]]&gt;9000,credit[[#This Row],[Saving accounts]]="little"),"High","Low")</f>
        <v>Low</v>
      </c>
    </row>
    <row r="254" spans="1:11" x14ac:dyDescent="0.25">
      <c r="A254">
        <v>24</v>
      </c>
      <c r="B254" s="13" t="str" cm="1">
        <f t="array" ref="B254">_xlfn.IFS(credit[[#This Row],[Age]]&lt;=25,"18-25",credit[[#This Row],[Age]]&lt;=35,"26-35",credit[[#This Row],[Age]]&lt;=45,"36-45",credit[[#This Row],[Age]]&lt;=60,"46-60",TRUE,"60+")</f>
        <v>18-25</v>
      </c>
      <c r="C254" t="s">
        <v>14</v>
      </c>
      <c r="D254">
        <v>2</v>
      </c>
      <c r="E254" t="s">
        <v>10</v>
      </c>
      <c r="F254" t="s">
        <v>12</v>
      </c>
      <c r="G254" t="s">
        <v>15</v>
      </c>
      <c r="H254">
        <v>2150</v>
      </c>
      <c r="I254">
        <v>30</v>
      </c>
      <c r="J254" t="s">
        <v>19</v>
      </c>
      <c r="K254" t="str">
        <f>IF(AND(credit[[#This Row],[Credit amount]]&gt;9000,credit[[#This Row],[Saving accounts]]="little"),"High","Low")</f>
        <v>Low</v>
      </c>
    </row>
    <row r="255" spans="1:11" x14ac:dyDescent="0.25">
      <c r="A255">
        <v>35</v>
      </c>
      <c r="B255" s="13" t="str" cm="1">
        <f t="array" ref="B255">_xlfn.IFS(credit[[#This Row],[Age]]&lt;=25,"18-25",credit[[#This Row],[Age]]&lt;=35,"26-35",credit[[#This Row],[Age]]&lt;=45,"36-45",credit[[#This Row],[Age]]&lt;=60,"46-60",TRUE,"60+")</f>
        <v>26-35</v>
      </c>
      <c r="C255" t="s">
        <v>9</v>
      </c>
      <c r="D255">
        <v>2</v>
      </c>
      <c r="E255" t="s">
        <v>10</v>
      </c>
      <c r="F255" t="s">
        <v>15</v>
      </c>
      <c r="G255" t="s">
        <v>11</v>
      </c>
      <c r="H255">
        <v>4151</v>
      </c>
      <c r="I255">
        <v>24</v>
      </c>
      <c r="J255" t="s">
        <v>18</v>
      </c>
      <c r="K255" t="str">
        <f>IF(AND(credit[[#This Row],[Credit amount]]&gt;9000,credit[[#This Row],[Saving accounts]]="little"),"High","Low")</f>
        <v>Low</v>
      </c>
    </row>
    <row r="256" spans="1:11" x14ac:dyDescent="0.25">
      <c r="A256">
        <v>24</v>
      </c>
      <c r="B256" s="13" t="str" cm="1">
        <f t="array" ref="B256">_xlfn.IFS(credit[[#This Row],[Age]]&lt;=25,"18-25",credit[[#This Row],[Age]]&lt;=35,"26-35",credit[[#This Row],[Age]]&lt;=45,"36-45",credit[[#This Row],[Age]]&lt;=60,"46-60",TRUE,"60+")</f>
        <v>18-25</v>
      </c>
      <c r="C256" t="s">
        <v>9</v>
      </c>
      <c r="D256">
        <v>2</v>
      </c>
      <c r="E256" t="s">
        <v>10</v>
      </c>
      <c r="F256" t="s">
        <v>11</v>
      </c>
      <c r="G256" t="s">
        <v>15</v>
      </c>
      <c r="H256">
        <v>2030</v>
      </c>
      <c r="I256">
        <v>9</v>
      </c>
      <c r="J256" t="s">
        <v>18</v>
      </c>
      <c r="K256" t="str">
        <f>IF(AND(credit[[#This Row],[Credit amount]]&gt;9000,credit[[#This Row],[Saving accounts]]="little"),"High","Low")</f>
        <v>Low</v>
      </c>
    </row>
    <row r="257" spans="1:11" x14ac:dyDescent="0.25">
      <c r="A257">
        <v>27</v>
      </c>
      <c r="B257" s="13" t="str" cm="1">
        <f t="array" ref="B257">_xlfn.IFS(credit[[#This Row],[Age]]&lt;=25,"18-25",credit[[#This Row],[Age]]&lt;=35,"26-35",credit[[#This Row],[Age]]&lt;=45,"36-45",credit[[#This Row],[Age]]&lt;=60,"46-60",TRUE,"60+")</f>
        <v>26-35</v>
      </c>
      <c r="C257" t="s">
        <v>9</v>
      </c>
      <c r="D257">
        <v>1</v>
      </c>
      <c r="E257" t="s">
        <v>10</v>
      </c>
      <c r="F257" t="s">
        <v>11</v>
      </c>
      <c r="G257" t="s">
        <v>15</v>
      </c>
      <c r="H257">
        <v>7418</v>
      </c>
      <c r="I257">
        <v>60</v>
      </c>
      <c r="J257" t="s">
        <v>13</v>
      </c>
      <c r="K257" t="str">
        <f>IF(AND(credit[[#This Row],[Credit amount]]&gt;9000,credit[[#This Row],[Saving accounts]]="little"),"High","Low")</f>
        <v>Low</v>
      </c>
    </row>
    <row r="258" spans="1:11" x14ac:dyDescent="0.25">
      <c r="A258">
        <v>35</v>
      </c>
      <c r="B258" s="13" t="str" cm="1">
        <f t="array" ref="B258">_xlfn.IFS(credit[[#This Row],[Age]]&lt;=25,"18-25",credit[[#This Row],[Age]]&lt;=35,"26-35",credit[[#This Row],[Age]]&lt;=45,"36-45",credit[[#This Row],[Age]]&lt;=60,"46-60",TRUE,"60+")</f>
        <v>26-35</v>
      </c>
      <c r="C258" t="s">
        <v>9</v>
      </c>
      <c r="D258">
        <v>1</v>
      </c>
      <c r="E258" t="s">
        <v>10</v>
      </c>
      <c r="F258" t="s">
        <v>12</v>
      </c>
      <c r="G258" t="s">
        <v>11</v>
      </c>
      <c r="H258">
        <v>2684</v>
      </c>
      <c r="I258">
        <v>24</v>
      </c>
      <c r="J258" t="s">
        <v>13</v>
      </c>
      <c r="K258" t="str">
        <f>IF(AND(credit[[#This Row],[Credit amount]]&gt;9000,credit[[#This Row],[Saving accounts]]="little"),"High","Low")</f>
        <v>Low</v>
      </c>
    </row>
    <row r="259" spans="1:11" x14ac:dyDescent="0.25">
      <c r="A259">
        <v>29</v>
      </c>
      <c r="B259" s="13" t="str" cm="1">
        <f t="array" ref="B259">_xlfn.IFS(credit[[#This Row],[Age]]&lt;=25,"18-25",credit[[#This Row],[Age]]&lt;=35,"26-35",credit[[#This Row],[Age]]&lt;=45,"36-45",credit[[#This Row],[Age]]&lt;=60,"46-60",TRUE,"60+")</f>
        <v>26-35</v>
      </c>
      <c r="C259" t="s">
        <v>9</v>
      </c>
      <c r="D259">
        <v>2</v>
      </c>
      <c r="E259" t="s">
        <v>17</v>
      </c>
      <c r="F259" t="s">
        <v>12</v>
      </c>
      <c r="G259" t="s">
        <v>12</v>
      </c>
      <c r="H259">
        <v>2149</v>
      </c>
      <c r="I259">
        <v>12</v>
      </c>
      <c r="J259" t="s">
        <v>13</v>
      </c>
      <c r="K259" t="str">
        <f>IF(AND(credit[[#This Row],[Credit amount]]&gt;9000,credit[[#This Row],[Saving accounts]]="little"),"High","Low")</f>
        <v>Low</v>
      </c>
    </row>
    <row r="260" spans="1:11" x14ac:dyDescent="0.25">
      <c r="A260">
        <v>23</v>
      </c>
      <c r="B260" s="13" t="str" cm="1">
        <f t="array" ref="B260">_xlfn.IFS(credit[[#This Row],[Age]]&lt;=25,"18-25",credit[[#This Row],[Age]]&lt;=35,"26-35",credit[[#This Row],[Age]]&lt;=45,"36-45",credit[[#This Row],[Age]]&lt;=60,"46-60",TRUE,"60+")</f>
        <v>18-25</v>
      </c>
      <c r="C260" t="s">
        <v>14</v>
      </c>
      <c r="D260">
        <v>2</v>
      </c>
      <c r="E260" t="s">
        <v>10</v>
      </c>
      <c r="F260" t="s">
        <v>15</v>
      </c>
      <c r="G260" t="s">
        <v>11</v>
      </c>
      <c r="H260">
        <v>3812</v>
      </c>
      <c r="I260">
        <v>15</v>
      </c>
      <c r="J260" t="s">
        <v>19</v>
      </c>
      <c r="K260" t="str">
        <f>IF(AND(credit[[#This Row],[Credit amount]]&gt;9000,credit[[#This Row],[Saving accounts]]="little"),"High","Low")</f>
        <v>Low</v>
      </c>
    </row>
    <row r="261" spans="1:11" x14ac:dyDescent="0.25">
      <c r="A261">
        <v>57</v>
      </c>
      <c r="B261" s="13" t="str" cm="1">
        <f t="array" ref="B261">_xlfn.IFS(credit[[#This Row],[Age]]&lt;=25,"18-25",credit[[#This Row],[Age]]&lt;=35,"26-35",credit[[#This Row],[Age]]&lt;=45,"36-45",credit[[#This Row],[Age]]&lt;=60,"46-60",TRUE,"60+")</f>
        <v>46-60</v>
      </c>
      <c r="C261" t="s">
        <v>14</v>
      </c>
      <c r="D261">
        <v>1</v>
      </c>
      <c r="E261" t="s">
        <v>10</v>
      </c>
      <c r="F261" t="s">
        <v>15</v>
      </c>
      <c r="G261" t="s">
        <v>11</v>
      </c>
      <c r="H261">
        <v>1154</v>
      </c>
      <c r="I261">
        <v>11</v>
      </c>
      <c r="J261" t="s">
        <v>13</v>
      </c>
      <c r="K261" t="str">
        <f>IF(AND(credit[[#This Row],[Credit amount]]&gt;9000,credit[[#This Row],[Saving accounts]]="little"),"High","Low")</f>
        <v>Low</v>
      </c>
    </row>
    <row r="262" spans="1:11" x14ac:dyDescent="0.25">
      <c r="A262">
        <v>27</v>
      </c>
      <c r="B262" s="13" t="str" cm="1">
        <f t="array" ref="B262">_xlfn.IFS(credit[[#This Row],[Age]]&lt;=25,"18-25",credit[[#This Row],[Age]]&lt;=35,"26-35",credit[[#This Row],[Age]]&lt;=45,"36-45",credit[[#This Row],[Age]]&lt;=60,"46-60",TRUE,"60+")</f>
        <v>26-35</v>
      </c>
      <c r="C262" t="s">
        <v>9</v>
      </c>
      <c r="D262">
        <v>2</v>
      </c>
      <c r="E262" t="s">
        <v>10</v>
      </c>
      <c r="F262" t="s">
        <v>12</v>
      </c>
      <c r="G262" t="s">
        <v>12</v>
      </c>
      <c r="H262">
        <v>1657</v>
      </c>
      <c r="I262">
        <v>12</v>
      </c>
      <c r="J262" t="s">
        <v>18</v>
      </c>
      <c r="K262" t="str">
        <f>IF(AND(credit[[#This Row],[Credit amount]]&gt;9000,credit[[#This Row],[Saving accounts]]="little"),"High","Low")</f>
        <v>Low</v>
      </c>
    </row>
    <row r="263" spans="1:11" x14ac:dyDescent="0.25">
      <c r="A263">
        <v>55</v>
      </c>
      <c r="B263" s="13" t="str" cm="1">
        <f t="array" ref="B263">_xlfn.IFS(credit[[#This Row],[Age]]&lt;=25,"18-25",credit[[#This Row],[Age]]&lt;=35,"26-35",credit[[#This Row],[Age]]&lt;=45,"36-45",credit[[#This Row],[Age]]&lt;=60,"46-60",TRUE,"60+")</f>
        <v>46-60</v>
      </c>
      <c r="C263" t="s">
        <v>14</v>
      </c>
      <c r="D263">
        <v>2</v>
      </c>
      <c r="E263" t="s">
        <v>10</v>
      </c>
      <c r="F263" t="s">
        <v>12</v>
      </c>
      <c r="G263" t="s">
        <v>12</v>
      </c>
      <c r="H263">
        <v>1603</v>
      </c>
      <c r="I263">
        <v>24</v>
      </c>
      <c r="J263" t="s">
        <v>13</v>
      </c>
      <c r="K263" t="str">
        <f>IF(AND(credit[[#This Row],[Credit amount]]&gt;9000,credit[[#This Row],[Saving accounts]]="little"),"High","Low")</f>
        <v>Low</v>
      </c>
    </row>
    <row r="264" spans="1:11" x14ac:dyDescent="0.25">
      <c r="A264">
        <v>36</v>
      </c>
      <c r="B264" s="13" t="str" cm="1">
        <f t="array" ref="B264">_xlfn.IFS(credit[[#This Row],[Age]]&lt;=25,"18-25",credit[[#This Row],[Age]]&lt;=35,"26-35",credit[[#This Row],[Age]]&lt;=45,"36-45",credit[[#This Row],[Age]]&lt;=60,"46-60",TRUE,"60+")</f>
        <v>36-45</v>
      </c>
      <c r="C264" t="s">
        <v>9</v>
      </c>
      <c r="D264">
        <v>3</v>
      </c>
      <c r="E264" t="s">
        <v>17</v>
      </c>
      <c r="F264" t="s">
        <v>12</v>
      </c>
      <c r="G264" t="s">
        <v>12</v>
      </c>
      <c r="H264">
        <v>5302</v>
      </c>
      <c r="I264">
        <v>18</v>
      </c>
      <c r="J264" t="s">
        <v>19</v>
      </c>
      <c r="K264" t="str">
        <f>IF(AND(credit[[#This Row],[Credit amount]]&gt;9000,credit[[#This Row],[Saving accounts]]="little"),"High","Low")</f>
        <v>Low</v>
      </c>
    </row>
    <row r="265" spans="1:11" x14ac:dyDescent="0.25">
      <c r="A265">
        <v>57</v>
      </c>
      <c r="B265" s="13" t="str" cm="1">
        <f t="array" ref="B265">_xlfn.IFS(credit[[#This Row],[Age]]&lt;=25,"18-25",credit[[#This Row],[Age]]&lt;=35,"26-35",credit[[#This Row],[Age]]&lt;=45,"36-45",credit[[#This Row],[Age]]&lt;=60,"46-60",TRUE,"60+")</f>
        <v>46-60</v>
      </c>
      <c r="C265" t="s">
        <v>14</v>
      </c>
      <c r="D265">
        <v>1</v>
      </c>
      <c r="E265" t="s">
        <v>17</v>
      </c>
      <c r="F265" t="s">
        <v>12</v>
      </c>
      <c r="G265" t="s">
        <v>11</v>
      </c>
      <c r="H265">
        <v>2748</v>
      </c>
      <c r="I265">
        <v>12</v>
      </c>
      <c r="J265" t="s">
        <v>16</v>
      </c>
      <c r="K265" t="str">
        <f>IF(AND(credit[[#This Row],[Credit amount]]&gt;9000,credit[[#This Row],[Saving accounts]]="little"),"High","Low")</f>
        <v>Low</v>
      </c>
    </row>
    <row r="266" spans="1:11" x14ac:dyDescent="0.25">
      <c r="A266">
        <v>32</v>
      </c>
      <c r="B266" s="13" t="str" cm="1">
        <f t="array" ref="B266">_xlfn.IFS(credit[[#This Row],[Age]]&lt;=25,"18-25",credit[[#This Row],[Age]]&lt;=35,"26-35",credit[[#This Row],[Age]]&lt;=45,"36-45",credit[[#This Row],[Age]]&lt;=60,"46-60",TRUE,"60+")</f>
        <v>26-35</v>
      </c>
      <c r="C266" t="s">
        <v>9</v>
      </c>
      <c r="D266">
        <v>1</v>
      </c>
      <c r="E266" t="s">
        <v>10</v>
      </c>
      <c r="F266" t="s">
        <v>12</v>
      </c>
      <c r="G266" t="s">
        <v>11</v>
      </c>
      <c r="H266">
        <v>1231</v>
      </c>
      <c r="I266">
        <v>10</v>
      </c>
      <c r="J266" t="s">
        <v>19</v>
      </c>
      <c r="K266" t="str">
        <f>IF(AND(credit[[#This Row],[Credit amount]]&gt;9000,credit[[#This Row],[Saving accounts]]="little"),"High","Low")</f>
        <v>Low</v>
      </c>
    </row>
    <row r="267" spans="1:11" x14ac:dyDescent="0.25">
      <c r="A267">
        <v>37</v>
      </c>
      <c r="B267" s="13" t="str" cm="1">
        <f t="array" ref="B267">_xlfn.IFS(credit[[#This Row],[Age]]&lt;=25,"18-25",credit[[#This Row],[Age]]&lt;=35,"26-35",credit[[#This Row],[Age]]&lt;=45,"36-45",credit[[#This Row],[Age]]&lt;=60,"46-60",TRUE,"60+")</f>
        <v>36-45</v>
      </c>
      <c r="C267" t="s">
        <v>9</v>
      </c>
      <c r="D267">
        <v>2</v>
      </c>
      <c r="E267" t="s">
        <v>10</v>
      </c>
      <c r="F267" t="s">
        <v>12</v>
      </c>
      <c r="G267" t="s">
        <v>15</v>
      </c>
      <c r="H267">
        <v>802</v>
      </c>
      <c r="I267">
        <v>15</v>
      </c>
      <c r="J267" t="s">
        <v>13</v>
      </c>
      <c r="K267" t="str">
        <f>IF(AND(credit[[#This Row],[Credit amount]]&gt;9000,credit[[#This Row],[Saving accounts]]="little"),"High","Low")</f>
        <v>Low</v>
      </c>
    </row>
    <row r="268" spans="1:11" x14ac:dyDescent="0.25">
      <c r="A268">
        <v>36</v>
      </c>
      <c r="B268" s="13" t="str" cm="1">
        <f t="array" ref="B268">_xlfn.IFS(credit[[#This Row],[Age]]&lt;=25,"18-25",credit[[#This Row],[Age]]&lt;=35,"26-35",credit[[#This Row],[Age]]&lt;=45,"36-45",credit[[#This Row],[Age]]&lt;=60,"46-60",TRUE,"60+")</f>
        <v>36-45</v>
      </c>
      <c r="C268" t="s">
        <v>9</v>
      </c>
      <c r="D268">
        <v>2</v>
      </c>
      <c r="E268" t="s">
        <v>10</v>
      </c>
      <c r="F268" t="s">
        <v>11</v>
      </c>
      <c r="G268" t="s">
        <v>11</v>
      </c>
      <c r="H268">
        <v>6304</v>
      </c>
      <c r="I268">
        <v>36</v>
      </c>
      <c r="J268" t="s">
        <v>23</v>
      </c>
      <c r="K268" t="str">
        <f>IF(AND(credit[[#This Row],[Credit amount]]&gt;9000,credit[[#This Row],[Saving accounts]]="little"),"High","Low")</f>
        <v>Low</v>
      </c>
    </row>
    <row r="269" spans="1:11" x14ac:dyDescent="0.25">
      <c r="A269">
        <v>38</v>
      </c>
      <c r="B269" s="13" t="str" cm="1">
        <f t="array" ref="B269">_xlfn.IFS(credit[[#This Row],[Age]]&lt;=25,"18-25",credit[[#This Row],[Age]]&lt;=35,"26-35",credit[[#This Row],[Age]]&lt;=45,"36-45",credit[[#This Row],[Age]]&lt;=60,"46-60",TRUE,"60+")</f>
        <v>36-45</v>
      </c>
      <c r="C269" t="s">
        <v>14</v>
      </c>
      <c r="D269">
        <v>2</v>
      </c>
      <c r="E269" t="s">
        <v>10</v>
      </c>
      <c r="F269" t="s">
        <v>12</v>
      </c>
      <c r="G269" t="s">
        <v>11</v>
      </c>
      <c r="H269">
        <v>1533</v>
      </c>
      <c r="I269">
        <v>24</v>
      </c>
      <c r="J269" t="s">
        <v>13</v>
      </c>
      <c r="K269" t="str">
        <f>IF(AND(credit[[#This Row],[Credit amount]]&gt;9000,credit[[#This Row],[Saving accounts]]="little"),"High","Low")</f>
        <v>Low</v>
      </c>
    </row>
    <row r="270" spans="1:11" x14ac:dyDescent="0.25">
      <c r="A270">
        <v>45</v>
      </c>
      <c r="B270" s="13" t="str" cm="1">
        <f t="array" ref="B270">_xlfn.IFS(credit[[#This Row],[Age]]&lt;=25,"18-25",credit[[#This Row],[Age]]&lt;=35,"26-35",credit[[#This Row],[Age]]&lt;=45,"36-45",credit[[#This Row],[Age]]&lt;=60,"46-60",TRUE,"60+")</f>
        <v>36-45</v>
      </c>
      <c r="C270" t="s">
        <v>9</v>
      </c>
      <c r="D270">
        <v>3</v>
      </c>
      <c r="E270" t="s">
        <v>10</v>
      </c>
      <c r="F270" t="s">
        <v>12</v>
      </c>
      <c r="G270" t="s">
        <v>12</v>
      </c>
      <c r="H270">
        <v>8978</v>
      </c>
      <c r="I270">
        <v>14</v>
      </c>
      <c r="J270" t="s">
        <v>19</v>
      </c>
      <c r="K270" t="str">
        <f>IF(AND(credit[[#This Row],[Credit amount]]&gt;9000,credit[[#This Row],[Saving accounts]]="little"),"High","Low")</f>
        <v>Low</v>
      </c>
    </row>
    <row r="271" spans="1:11" x14ac:dyDescent="0.25">
      <c r="A271">
        <v>25</v>
      </c>
      <c r="B271" s="13" t="str" cm="1">
        <f t="array" ref="B271">_xlfn.IFS(credit[[#This Row],[Age]]&lt;=25,"18-25",credit[[#This Row],[Age]]&lt;=35,"26-35",credit[[#This Row],[Age]]&lt;=45,"36-45",credit[[#This Row],[Age]]&lt;=60,"46-60",TRUE,"60+")</f>
        <v>18-25</v>
      </c>
      <c r="C271" t="s">
        <v>9</v>
      </c>
      <c r="D271">
        <v>2</v>
      </c>
      <c r="E271" t="s">
        <v>10</v>
      </c>
      <c r="F271" t="s">
        <v>11</v>
      </c>
      <c r="G271" t="s">
        <v>11</v>
      </c>
      <c r="H271">
        <v>999</v>
      </c>
      <c r="I271">
        <v>24</v>
      </c>
      <c r="J271" t="s">
        <v>13</v>
      </c>
      <c r="K271" t="str">
        <f>IF(AND(credit[[#This Row],[Credit amount]]&gt;9000,credit[[#This Row],[Saving accounts]]="little"),"High","Low")</f>
        <v>Low</v>
      </c>
    </row>
    <row r="272" spans="1:11" x14ac:dyDescent="0.25">
      <c r="A272">
        <v>32</v>
      </c>
      <c r="B272" s="13" t="str" cm="1">
        <f t="array" ref="B272">_xlfn.IFS(credit[[#This Row],[Age]]&lt;=25,"18-25",credit[[#This Row],[Age]]&lt;=35,"26-35",credit[[#This Row],[Age]]&lt;=45,"36-45",credit[[#This Row],[Age]]&lt;=60,"46-60",TRUE,"60+")</f>
        <v>26-35</v>
      </c>
      <c r="C272" t="s">
        <v>9</v>
      </c>
      <c r="D272">
        <v>2</v>
      </c>
      <c r="E272" t="s">
        <v>10</v>
      </c>
      <c r="F272" t="s">
        <v>11</v>
      </c>
      <c r="G272" t="s">
        <v>11</v>
      </c>
      <c r="H272">
        <v>2662</v>
      </c>
      <c r="I272">
        <v>18</v>
      </c>
      <c r="J272" t="s">
        <v>19</v>
      </c>
      <c r="K272" t="str">
        <f>IF(AND(credit[[#This Row],[Credit amount]]&gt;9000,credit[[#This Row],[Saving accounts]]="little"),"High","Low")</f>
        <v>Low</v>
      </c>
    </row>
    <row r="273" spans="1:11" x14ac:dyDescent="0.25">
      <c r="A273">
        <v>37</v>
      </c>
      <c r="B273" s="13" t="str" cm="1">
        <f t="array" ref="B273">_xlfn.IFS(credit[[#This Row],[Age]]&lt;=25,"18-25",credit[[#This Row],[Age]]&lt;=35,"26-35",credit[[#This Row],[Age]]&lt;=45,"36-45",credit[[#This Row],[Age]]&lt;=60,"46-60",TRUE,"60+")</f>
        <v>36-45</v>
      </c>
      <c r="C273" t="s">
        <v>14</v>
      </c>
      <c r="D273">
        <v>2</v>
      </c>
      <c r="E273" t="s">
        <v>21</v>
      </c>
      <c r="F273" t="s">
        <v>20</v>
      </c>
      <c r="G273" t="s">
        <v>11</v>
      </c>
      <c r="H273">
        <v>1402</v>
      </c>
      <c r="I273">
        <v>12</v>
      </c>
      <c r="J273" t="s">
        <v>18</v>
      </c>
      <c r="K273" t="str">
        <f>IF(AND(credit[[#This Row],[Credit amount]]&gt;9000,credit[[#This Row],[Saving accounts]]="little"),"High","Low")</f>
        <v>Low</v>
      </c>
    </row>
    <row r="274" spans="1:11" x14ac:dyDescent="0.25">
      <c r="A274">
        <v>36</v>
      </c>
      <c r="B274" s="13" t="str" cm="1">
        <f t="array" ref="B274">_xlfn.IFS(credit[[#This Row],[Age]]&lt;=25,"18-25",credit[[#This Row],[Age]]&lt;=35,"26-35",credit[[#This Row],[Age]]&lt;=45,"36-45",credit[[#This Row],[Age]]&lt;=60,"46-60",TRUE,"60+")</f>
        <v>36-45</v>
      </c>
      <c r="C274" t="s">
        <v>9</v>
      </c>
      <c r="D274">
        <v>3</v>
      </c>
      <c r="E274" t="s">
        <v>17</v>
      </c>
      <c r="F274" t="s">
        <v>11</v>
      </c>
      <c r="G274" t="s">
        <v>15</v>
      </c>
      <c r="H274">
        <v>12169</v>
      </c>
      <c r="I274">
        <v>48</v>
      </c>
      <c r="J274" t="s">
        <v>19</v>
      </c>
      <c r="K274" t="str">
        <f>IF(AND(credit[[#This Row],[Credit amount]]&gt;9000,credit[[#This Row],[Saving accounts]]="little"),"High","Low")</f>
        <v>Low</v>
      </c>
    </row>
    <row r="275" spans="1:11" x14ac:dyDescent="0.25">
      <c r="A275">
        <v>28</v>
      </c>
      <c r="B275" s="13" t="str" cm="1">
        <f t="array" ref="B275">_xlfn.IFS(credit[[#This Row],[Age]]&lt;=25,"18-25",credit[[#This Row],[Age]]&lt;=35,"26-35",credit[[#This Row],[Age]]&lt;=45,"36-45",credit[[#This Row],[Age]]&lt;=60,"46-60",TRUE,"60+")</f>
        <v>26-35</v>
      </c>
      <c r="C275" t="s">
        <v>9</v>
      </c>
      <c r="D275">
        <v>2</v>
      </c>
      <c r="E275" t="s">
        <v>10</v>
      </c>
      <c r="F275" t="s">
        <v>12</v>
      </c>
      <c r="G275" t="s">
        <v>15</v>
      </c>
      <c r="H275">
        <v>3060</v>
      </c>
      <c r="I275">
        <v>48</v>
      </c>
      <c r="J275" t="s">
        <v>13</v>
      </c>
      <c r="K275" t="str">
        <f>IF(AND(credit[[#This Row],[Credit amount]]&gt;9000,credit[[#This Row],[Saving accounts]]="little"),"High","Low")</f>
        <v>Low</v>
      </c>
    </row>
    <row r="276" spans="1:11" x14ac:dyDescent="0.25">
      <c r="A276">
        <v>34</v>
      </c>
      <c r="B276" s="13" t="str" cm="1">
        <f t="array" ref="B276">_xlfn.IFS(credit[[#This Row],[Age]]&lt;=25,"18-25",credit[[#This Row],[Age]]&lt;=35,"26-35",credit[[#This Row],[Age]]&lt;=45,"36-45",credit[[#This Row],[Age]]&lt;=60,"46-60",TRUE,"60+")</f>
        <v>26-35</v>
      </c>
      <c r="C276" t="s">
        <v>9</v>
      </c>
      <c r="D276">
        <v>1</v>
      </c>
      <c r="E276" t="s">
        <v>10</v>
      </c>
      <c r="F276" t="s">
        <v>12</v>
      </c>
      <c r="G276" t="s">
        <v>12</v>
      </c>
      <c r="H276">
        <v>11998</v>
      </c>
      <c r="I276">
        <v>30</v>
      </c>
      <c r="J276" t="s">
        <v>25</v>
      </c>
      <c r="K276" t="str">
        <f>IF(AND(credit[[#This Row],[Credit amount]]&gt;9000,credit[[#This Row],[Saving accounts]]="little"),"High","Low")</f>
        <v>High</v>
      </c>
    </row>
    <row r="277" spans="1:11" x14ac:dyDescent="0.25">
      <c r="A277">
        <v>32</v>
      </c>
      <c r="B277" s="13" t="str" cm="1">
        <f t="array" ref="B277">_xlfn.IFS(credit[[#This Row],[Age]]&lt;=25,"18-25",credit[[#This Row],[Age]]&lt;=35,"26-35",credit[[#This Row],[Age]]&lt;=45,"36-45",credit[[#This Row],[Age]]&lt;=60,"46-60",TRUE,"60+")</f>
        <v>26-35</v>
      </c>
      <c r="C277" t="s">
        <v>9</v>
      </c>
      <c r="D277">
        <v>2</v>
      </c>
      <c r="E277" t="s">
        <v>10</v>
      </c>
      <c r="F277" t="s">
        <v>12</v>
      </c>
      <c r="G277" t="s">
        <v>11</v>
      </c>
      <c r="H277">
        <v>2697</v>
      </c>
      <c r="I277">
        <v>9</v>
      </c>
      <c r="J277" t="s">
        <v>13</v>
      </c>
      <c r="K277" t="str">
        <f>IF(AND(credit[[#This Row],[Credit amount]]&gt;9000,credit[[#This Row],[Saving accounts]]="little"),"High","Low")</f>
        <v>Low</v>
      </c>
    </row>
    <row r="278" spans="1:11" x14ac:dyDescent="0.25">
      <c r="A278">
        <v>26</v>
      </c>
      <c r="B278" s="13" t="str" cm="1">
        <f t="array" ref="B278">_xlfn.IFS(credit[[#This Row],[Age]]&lt;=25,"18-25",credit[[#This Row],[Age]]&lt;=35,"26-35",credit[[#This Row],[Age]]&lt;=45,"36-45",credit[[#This Row],[Age]]&lt;=60,"46-60",TRUE,"60+")</f>
        <v>26-35</v>
      </c>
      <c r="C278" t="s">
        <v>14</v>
      </c>
      <c r="D278">
        <v>2</v>
      </c>
      <c r="E278" t="s">
        <v>10</v>
      </c>
      <c r="F278" t="s">
        <v>12</v>
      </c>
      <c r="G278" t="s">
        <v>11</v>
      </c>
      <c r="H278">
        <v>2404</v>
      </c>
      <c r="I278">
        <v>18</v>
      </c>
      <c r="J278" t="s">
        <v>13</v>
      </c>
      <c r="K278" t="str">
        <f>IF(AND(credit[[#This Row],[Credit amount]]&gt;9000,credit[[#This Row],[Saving accounts]]="little"),"High","Low")</f>
        <v>Low</v>
      </c>
    </row>
    <row r="279" spans="1:11" x14ac:dyDescent="0.25">
      <c r="A279">
        <v>49</v>
      </c>
      <c r="B279" s="13" t="str" cm="1">
        <f t="array" ref="B279">_xlfn.IFS(credit[[#This Row],[Age]]&lt;=25,"18-25",credit[[#This Row],[Age]]&lt;=35,"26-35",credit[[#This Row],[Age]]&lt;=45,"36-45",credit[[#This Row],[Age]]&lt;=60,"46-60",TRUE,"60+")</f>
        <v>46-60</v>
      </c>
      <c r="C279" t="s">
        <v>9</v>
      </c>
      <c r="D279">
        <v>1</v>
      </c>
      <c r="E279" t="s">
        <v>10</v>
      </c>
      <c r="F279" t="s">
        <v>11</v>
      </c>
      <c r="G279" t="s">
        <v>12</v>
      </c>
      <c r="H279">
        <v>1262</v>
      </c>
      <c r="I279">
        <v>12</v>
      </c>
      <c r="J279" t="s">
        <v>18</v>
      </c>
      <c r="K279" t="str">
        <f>IF(AND(credit[[#This Row],[Credit amount]]&gt;9000,credit[[#This Row],[Saving accounts]]="little"),"High","Low")</f>
        <v>Low</v>
      </c>
    </row>
    <row r="280" spans="1:11" x14ac:dyDescent="0.25">
      <c r="A280">
        <v>32</v>
      </c>
      <c r="B280" s="13" t="str" cm="1">
        <f t="array" ref="B280">_xlfn.IFS(credit[[#This Row],[Age]]&lt;=25,"18-25",credit[[#This Row],[Age]]&lt;=35,"26-35",credit[[#This Row],[Age]]&lt;=45,"36-45",credit[[#This Row],[Age]]&lt;=60,"46-60",TRUE,"60+")</f>
        <v>26-35</v>
      </c>
      <c r="C280" t="s">
        <v>14</v>
      </c>
      <c r="D280">
        <v>2</v>
      </c>
      <c r="E280" t="s">
        <v>10</v>
      </c>
      <c r="F280" t="s">
        <v>12</v>
      </c>
      <c r="G280" t="s">
        <v>11</v>
      </c>
      <c r="H280">
        <v>4611</v>
      </c>
      <c r="I280">
        <v>6</v>
      </c>
      <c r="J280" t="s">
        <v>18</v>
      </c>
      <c r="K280" t="str">
        <f>IF(AND(credit[[#This Row],[Credit amount]]&gt;9000,credit[[#This Row],[Saving accounts]]="little"),"High","Low")</f>
        <v>Low</v>
      </c>
    </row>
    <row r="281" spans="1:11" x14ac:dyDescent="0.25">
      <c r="A281">
        <v>29</v>
      </c>
      <c r="B281" s="13" t="str" cm="1">
        <f t="array" ref="B281">_xlfn.IFS(credit[[#This Row],[Age]]&lt;=25,"18-25",credit[[#This Row],[Age]]&lt;=35,"26-35",credit[[#This Row],[Age]]&lt;=45,"36-45",credit[[#This Row],[Age]]&lt;=60,"46-60",TRUE,"60+")</f>
        <v>26-35</v>
      </c>
      <c r="C281" t="s">
        <v>9</v>
      </c>
      <c r="D281">
        <v>3</v>
      </c>
      <c r="E281" t="s">
        <v>21</v>
      </c>
      <c r="F281" t="s">
        <v>15</v>
      </c>
      <c r="G281" t="s">
        <v>11</v>
      </c>
      <c r="H281">
        <v>1901</v>
      </c>
      <c r="I281">
        <v>24</v>
      </c>
      <c r="J281" t="s">
        <v>13</v>
      </c>
      <c r="K281" t="str">
        <f>IF(AND(credit[[#This Row],[Credit amount]]&gt;9000,credit[[#This Row],[Saving accounts]]="little"),"High","Low")</f>
        <v>Low</v>
      </c>
    </row>
    <row r="282" spans="1:11" x14ac:dyDescent="0.25">
      <c r="A282">
        <v>23</v>
      </c>
      <c r="B282" s="13" t="str" cm="1">
        <f t="array" ref="B282">_xlfn.IFS(credit[[#This Row],[Age]]&lt;=25,"18-25",credit[[#This Row],[Age]]&lt;=35,"26-35",credit[[#This Row],[Age]]&lt;=45,"36-45",credit[[#This Row],[Age]]&lt;=60,"46-60",TRUE,"60+")</f>
        <v>18-25</v>
      </c>
      <c r="C282" t="s">
        <v>9</v>
      </c>
      <c r="D282">
        <v>2</v>
      </c>
      <c r="E282" t="s">
        <v>21</v>
      </c>
      <c r="F282" t="s">
        <v>22</v>
      </c>
      <c r="G282" t="s">
        <v>11</v>
      </c>
      <c r="H282">
        <v>3368</v>
      </c>
      <c r="I282">
        <v>15</v>
      </c>
      <c r="J282" t="s">
        <v>19</v>
      </c>
      <c r="K282" t="str">
        <f>IF(AND(credit[[#This Row],[Credit amount]]&gt;9000,credit[[#This Row],[Saving accounts]]="little"),"High","Low")</f>
        <v>Low</v>
      </c>
    </row>
    <row r="283" spans="1:11" x14ac:dyDescent="0.25">
      <c r="A283">
        <v>50</v>
      </c>
      <c r="B283" s="13" t="str" cm="1">
        <f t="array" ref="B283">_xlfn.IFS(credit[[#This Row],[Age]]&lt;=25,"18-25",credit[[#This Row],[Age]]&lt;=35,"26-35",credit[[#This Row],[Age]]&lt;=45,"36-45",credit[[#This Row],[Age]]&lt;=60,"46-60",TRUE,"60+")</f>
        <v>46-60</v>
      </c>
      <c r="C283" t="s">
        <v>9</v>
      </c>
      <c r="D283">
        <v>2</v>
      </c>
      <c r="E283" t="s">
        <v>10</v>
      </c>
      <c r="F283" t="s">
        <v>12</v>
      </c>
      <c r="G283" t="s">
        <v>11</v>
      </c>
      <c r="H283">
        <v>1574</v>
      </c>
      <c r="I283">
        <v>12</v>
      </c>
      <c r="J283" t="s">
        <v>18</v>
      </c>
      <c r="K283" t="str">
        <f>IF(AND(credit[[#This Row],[Credit amount]]&gt;9000,credit[[#This Row],[Saving accounts]]="little"),"High","Low")</f>
        <v>Low</v>
      </c>
    </row>
    <row r="284" spans="1:11" x14ac:dyDescent="0.25">
      <c r="A284">
        <v>49</v>
      </c>
      <c r="B284" s="13" t="str" cm="1">
        <f t="array" ref="B284">_xlfn.IFS(credit[[#This Row],[Age]]&lt;=25,"18-25",credit[[#This Row],[Age]]&lt;=35,"26-35",credit[[#This Row],[Age]]&lt;=45,"36-45",credit[[#This Row],[Age]]&lt;=60,"46-60",TRUE,"60+")</f>
        <v>46-60</v>
      </c>
      <c r="C284" t="s">
        <v>9</v>
      </c>
      <c r="D284">
        <v>1</v>
      </c>
      <c r="E284" t="s">
        <v>10</v>
      </c>
      <c r="F284" t="s">
        <v>11</v>
      </c>
      <c r="G284" t="s">
        <v>22</v>
      </c>
      <c r="H284">
        <v>1445</v>
      </c>
      <c r="I284">
        <v>18</v>
      </c>
      <c r="J284" t="s">
        <v>13</v>
      </c>
      <c r="K284" t="str">
        <f>IF(AND(credit[[#This Row],[Credit amount]]&gt;9000,credit[[#This Row],[Saving accounts]]="little"),"High","Low")</f>
        <v>Low</v>
      </c>
    </row>
    <row r="285" spans="1:11" x14ac:dyDescent="0.25">
      <c r="A285">
        <v>63</v>
      </c>
      <c r="B285" s="13" t="str" cm="1">
        <f t="array" ref="B285">_xlfn.IFS(credit[[#This Row],[Age]]&lt;=25,"18-25",credit[[#This Row],[Age]]&lt;=35,"26-35",credit[[#This Row],[Age]]&lt;=45,"36-45",credit[[#This Row],[Age]]&lt;=60,"46-60",TRUE,"60+")</f>
        <v>60+</v>
      </c>
      <c r="C285" t="s">
        <v>9</v>
      </c>
      <c r="D285">
        <v>2</v>
      </c>
      <c r="E285" t="s">
        <v>10</v>
      </c>
      <c r="F285" t="s">
        <v>11</v>
      </c>
      <c r="G285" t="s">
        <v>11</v>
      </c>
      <c r="H285">
        <v>1520</v>
      </c>
      <c r="I285">
        <v>15</v>
      </c>
      <c r="J285" t="s">
        <v>18</v>
      </c>
      <c r="K285" t="str">
        <f>IF(AND(credit[[#This Row],[Credit amount]]&gt;9000,credit[[#This Row],[Saving accounts]]="little"),"High","Low")</f>
        <v>Low</v>
      </c>
    </row>
    <row r="286" spans="1:11" x14ac:dyDescent="0.25">
      <c r="A286">
        <v>37</v>
      </c>
      <c r="B286" s="13" t="str" cm="1">
        <f t="array" ref="B286">_xlfn.IFS(credit[[#This Row],[Age]]&lt;=25,"18-25",credit[[#This Row],[Age]]&lt;=35,"26-35",credit[[#This Row],[Age]]&lt;=45,"36-45",credit[[#This Row],[Age]]&lt;=60,"46-60",TRUE,"60+")</f>
        <v>36-45</v>
      </c>
      <c r="C286" t="s">
        <v>9</v>
      </c>
      <c r="D286">
        <v>2</v>
      </c>
      <c r="E286" t="s">
        <v>10</v>
      </c>
      <c r="F286" t="s">
        <v>15</v>
      </c>
      <c r="G286" t="s">
        <v>15</v>
      </c>
      <c r="H286">
        <v>3878</v>
      </c>
      <c r="I286">
        <v>24</v>
      </c>
      <c r="J286" t="s">
        <v>19</v>
      </c>
      <c r="K286" t="str">
        <f>IF(AND(credit[[#This Row],[Credit amount]]&gt;9000,credit[[#This Row],[Saving accounts]]="little"),"High","Low")</f>
        <v>Low</v>
      </c>
    </row>
    <row r="287" spans="1:11" x14ac:dyDescent="0.25">
      <c r="A287">
        <v>35</v>
      </c>
      <c r="B287" s="13" t="str" cm="1">
        <f t="array" ref="B287">_xlfn.IFS(credit[[#This Row],[Age]]&lt;=25,"18-25",credit[[#This Row],[Age]]&lt;=35,"26-35",credit[[#This Row],[Age]]&lt;=45,"36-45",credit[[#This Row],[Age]]&lt;=60,"46-60",TRUE,"60+")</f>
        <v>26-35</v>
      </c>
      <c r="C287" t="s">
        <v>14</v>
      </c>
      <c r="D287">
        <v>1</v>
      </c>
      <c r="E287" t="s">
        <v>10</v>
      </c>
      <c r="F287" t="s">
        <v>12</v>
      </c>
      <c r="G287" t="s">
        <v>12</v>
      </c>
      <c r="H287">
        <v>10722</v>
      </c>
      <c r="I287">
        <v>47</v>
      </c>
      <c r="J287" t="s">
        <v>19</v>
      </c>
      <c r="K287" t="str">
        <f>IF(AND(credit[[#This Row],[Credit amount]]&gt;9000,credit[[#This Row],[Saving accounts]]="little"),"High","Low")</f>
        <v>High</v>
      </c>
    </row>
    <row r="288" spans="1:11" x14ac:dyDescent="0.25">
      <c r="A288">
        <v>26</v>
      </c>
      <c r="B288" s="13" t="str" cm="1">
        <f t="array" ref="B288">_xlfn.IFS(credit[[#This Row],[Age]]&lt;=25,"18-25",credit[[#This Row],[Age]]&lt;=35,"26-35",credit[[#This Row],[Age]]&lt;=45,"36-45",credit[[#This Row],[Age]]&lt;=60,"46-60",TRUE,"60+")</f>
        <v>26-35</v>
      </c>
      <c r="C288" t="s">
        <v>9</v>
      </c>
      <c r="D288">
        <v>2</v>
      </c>
      <c r="E288" t="s">
        <v>10</v>
      </c>
      <c r="F288" t="s">
        <v>12</v>
      </c>
      <c r="G288" t="s">
        <v>12</v>
      </c>
      <c r="H288">
        <v>4788</v>
      </c>
      <c r="I288">
        <v>48</v>
      </c>
      <c r="J288" t="s">
        <v>19</v>
      </c>
      <c r="K288" t="str">
        <f>IF(AND(credit[[#This Row],[Credit amount]]&gt;9000,credit[[#This Row],[Saving accounts]]="little"),"High","Low")</f>
        <v>Low</v>
      </c>
    </row>
    <row r="289" spans="1:11" x14ac:dyDescent="0.25">
      <c r="A289">
        <v>31</v>
      </c>
      <c r="B289" s="13" t="str" cm="1">
        <f t="array" ref="B289">_xlfn.IFS(credit[[#This Row],[Age]]&lt;=25,"18-25",credit[[#This Row],[Age]]&lt;=35,"26-35",credit[[#This Row],[Age]]&lt;=45,"36-45",credit[[#This Row],[Age]]&lt;=60,"46-60",TRUE,"60+")</f>
        <v>26-35</v>
      </c>
      <c r="C289" t="s">
        <v>9</v>
      </c>
      <c r="D289">
        <v>3</v>
      </c>
      <c r="E289" t="s">
        <v>17</v>
      </c>
      <c r="F289" t="s">
        <v>15</v>
      </c>
      <c r="G289" t="s">
        <v>15</v>
      </c>
      <c r="H289">
        <v>7582</v>
      </c>
      <c r="I289">
        <v>48</v>
      </c>
      <c r="J289" t="s">
        <v>26</v>
      </c>
      <c r="K289" t="str">
        <f>IF(AND(credit[[#This Row],[Credit amount]]&gt;9000,credit[[#This Row],[Saving accounts]]="little"),"High","Low")</f>
        <v>Low</v>
      </c>
    </row>
    <row r="290" spans="1:11" x14ac:dyDescent="0.25">
      <c r="A290">
        <v>49</v>
      </c>
      <c r="B290" s="13" t="str" cm="1">
        <f t="array" ref="B290">_xlfn.IFS(credit[[#This Row],[Age]]&lt;=25,"18-25",credit[[#This Row],[Age]]&lt;=35,"26-35",credit[[#This Row],[Age]]&lt;=45,"36-45",credit[[#This Row],[Age]]&lt;=60,"46-60",TRUE,"60+")</f>
        <v>46-60</v>
      </c>
      <c r="C290" t="s">
        <v>14</v>
      </c>
      <c r="D290">
        <v>2</v>
      </c>
      <c r="E290" t="s">
        <v>10</v>
      </c>
      <c r="F290" t="s">
        <v>12</v>
      </c>
      <c r="G290" t="s">
        <v>15</v>
      </c>
      <c r="H290">
        <v>1092</v>
      </c>
      <c r="I290">
        <v>12</v>
      </c>
      <c r="J290" t="s">
        <v>13</v>
      </c>
      <c r="K290" t="str">
        <f>IF(AND(credit[[#This Row],[Credit amount]]&gt;9000,credit[[#This Row],[Saving accounts]]="little"),"High","Low")</f>
        <v>Low</v>
      </c>
    </row>
    <row r="291" spans="1:11" x14ac:dyDescent="0.25">
      <c r="A291">
        <v>48</v>
      </c>
      <c r="B291" s="13" t="str" cm="1">
        <f t="array" ref="B291">_xlfn.IFS(credit[[#This Row],[Age]]&lt;=25,"18-25",credit[[#This Row],[Age]]&lt;=35,"26-35",credit[[#This Row],[Age]]&lt;=45,"36-45",credit[[#This Row],[Age]]&lt;=60,"46-60",TRUE,"60+")</f>
        <v>46-60</v>
      </c>
      <c r="C291" t="s">
        <v>9</v>
      </c>
      <c r="D291">
        <v>2</v>
      </c>
      <c r="E291" t="s">
        <v>10</v>
      </c>
      <c r="F291" t="s">
        <v>12</v>
      </c>
      <c r="G291" t="s">
        <v>12</v>
      </c>
      <c r="H291">
        <v>1024</v>
      </c>
      <c r="I291">
        <v>24</v>
      </c>
      <c r="J291" t="s">
        <v>13</v>
      </c>
      <c r="K291" t="str">
        <f>IF(AND(credit[[#This Row],[Credit amount]]&gt;9000,credit[[#This Row],[Saving accounts]]="little"),"High","Low")</f>
        <v>Low</v>
      </c>
    </row>
    <row r="292" spans="1:11" x14ac:dyDescent="0.25">
      <c r="A292">
        <v>26</v>
      </c>
      <c r="B292" s="13" t="str" cm="1">
        <f t="array" ref="B292">_xlfn.IFS(credit[[#This Row],[Age]]&lt;=25,"18-25",credit[[#This Row],[Age]]&lt;=35,"26-35",credit[[#This Row],[Age]]&lt;=45,"36-45",credit[[#This Row],[Age]]&lt;=60,"46-60",TRUE,"60+")</f>
        <v>26-35</v>
      </c>
      <c r="C292" t="s">
        <v>9</v>
      </c>
      <c r="D292">
        <v>2</v>
      </c>
      <c r="E292" t="s">
        <v>10</v>
      </c>
      <c r="F292" t="s">
        <v>12</v>
      </c>
      <c r="G292" t="s">
        <v>11</v>
      </c>
      <c r="H292">
        <v>1076</v>
      </c>
      <c r="I292">
        <v>12</v>
      </c>
      <c r="J292" t="s">
        <v>23</v>
      </c>
      <c r="K292" t="str">
        <f>IF(AND(credit[[#This Row],[Credit amount]]&gt;9000,credit[[#This Row],[Saving accounts]]="little"),"High","Low")</f>
        <v>Low</v>
      </c>
    </row>
    <row r="293" spans="1:11" x14ac:dyDescent="0.25">
      <c r="A293">
        <v>28</v>
      </c>
      <c r="B293" s="13" t="str" cm="1">
        <f t="array" ref="B293">_xlfn.IFS(credit[[#This Row],[Age]]&lt;=25,"18-25",credit[[#This Row],[Age]]&lt;=35,"26-35",credit[[#This Row],[Age]]&lt;=45,"36-45",credit[[#This Row],[Age]]&lt;=60,"46-60",TRUE,"60+")</f>
        <v>26-35</v>
      </c>
      <c r="C293" t="s">
        <v>9</v>
      </c>
      <c r="D293">
        <v>3</v>
      </c>
      <c r="E293" t="s">
        <v>21</v>
      </c>
      <c r="F293" t="s">
        <v>12</v>
      </c>
      <c r="G293" t="s">
        <v>15</v>
      </c>
      <c r="H293">
        <v>9398</v>
      </c>
      <c r="I293">
        <v>36</v>
      </c>
      <c r="J293" t="s">
        <v>19</v>
      </c>
      <c r="K293" t="str">
        <f>IF(AND(credit[[#This Row],[Credit amount]]&gt;9000,credit[[#This Row],[Saving accounts]]="little"),"High","Low")</f>
        <v>High</v>
      </c>
    </row>
    <row r="294" spans="1:11" x14ac:dyDescent="0.25">
      <c r="A294">
        <v>44</v>
      </c>
      <c r="B294" s="13" t="str" cm="1">
        <f t="array" ref="B294">_xlfn.IFS(credit[[#This Row],[Age]]&lt;=25,"18-25",credit[[#This Row],[Age]]&lt;=35,"26-35",credit[[#This Row],[Age]]&lt;=45,"36-45",credit[[#This Row],[Age]]&lt;=60,"46-60",TRUE,"60+")</f>
        <v>36-45</v>
      </c>
      <c r="C294" t="s">
        <v>14</v>
      </c>
      <c r="D294">
        <v>3</v>
      </c>
      <c r="E294" t="s">
        <v>17</v>
      </c>
      <c r="F294" t="s">
        <v>12</v>
      </c>
      <c r="G294" t="s">
        <v>12</v>
      </c>
      <c r="H294">
        <v>6419</v>
      </c>
      <c r="I294">
        <v>24</v>
      </c>
      <c r="J294" t="s">
        <v>19</v>
      </c>
      <c r="K294" t="str">
        <f>IF(AND(credit[[#This Row],[Credit amount]]&gt;9000,credit[[#This Row],[Saving accounts]]="little"),"High","Low")</f>
        <v>Low</v>
      </c>
    </row>
    <row r="295" spans="1:11" x14ac:dyDescent="0.25">
      <c r="A295">
        <v>56</v>
      </c>
      <c r="B295" s="13" t="str" cm="1">
        <f t="array" ref="B295">_xlfn.IFS(credit[[#This Row],[Age]]&lt;=25,"18-25",credit[[#This Row],[Age]]&lt;=35,"26-35",credit[[#This Row],[Age]]&lt;=45,"36-45",credit[[#This Row],[Age]]&lt;=60,"46-60",TRUE,"60+")</f>
        <v>46-60</v>
      </c>
      <c r="C295" t="s">
        <v>9</v>
      </c>
      <c r="D295">
        <v>2</v>
      </c>
      <c r="E295" t="s">
        <v>17</v>
      </c>
      <c r="F295" t="s">
        <v>12</v>
      </c>
      <c r="G295" t="s">
        <v>22</v>
      </c>
      <c r="H295">
        <v>4796</v>
      </c>
      <c r="I295">
        <v>42</v>
      </c>
      <c r="J295" t="s">
        <v>19</v>
      </c>
      <c r="K295" t="str">
        <f>IF(AND(credit[[#This Row],[Credit amount]]&gt;9000,credit[[#This Row],[Saving accounts]]="little"),"High","Low")</f>
        <v>Low</v>
      </c>
    </row>
    <row r="296" spans="1:11" x14ac:dyDescent="0.25">
      <c r="A296">
        <v>46</v>
      </c>
      <c r="B296" s="13" t="str" cm="1">
        <f t="array" ref="B296">_xlfn.IFS(credit[[#This Row],[Age]]&lt;=25,"18-25",credit[[#This Row],[Age]]&lt;=35,"26-35",credit[[#This Row],[Age]]&lt;=45,"36-45",credit[[#This Row],[Age]]&lt;=60,"46-60",TRUE,"60+")</f>
        <v>46-60</v>
      </c>
      <c r="C296" t="s">
        <v>9</v>
      </c>
      <c r="D296">
        <v>3</v>
      </c>
      <c r="E296" t="s">
        <v>10</v>
      </c>
      <c r="F296" t="s">
        <v>11</v>
      </c>
      <c r="G296" t="s">
        <v>11</v>
      </c>
      <c r="H296">
        <v>7629</v>
      </c>
      <c r="I296">
        <v>48</v>
      </c>
      <c r="J296" t="s">
        <v>23</v>
      </c>
      <c r="K296" t="str">
        <f>IF(AND(credit[[#This Row],[Credit amount]]&gt;9000,credit[[#This Row],[Saving accounts]]="little"),"High","Low")</f>
        <v>Low</v>
      </c>
    </row>
    <row r="297" spans="1:11" x14ac:dyDescent="0.25">
      <c r="A297">
        <v>26</v>
      </c>
      <c r="B297" s="13" t="str" cm="1">
        <f t="array" ref="B297">_xlfn.IFS(credit[[#This Row],[Age]]&lt;=25,"18-25",credit[[#This Row],[Age]]&lt;=35,"26-35",credit[[#This Row],[Age]]&lt;=45,"36-45",credit[[#This Row],[Age]]&lt;=60,"46-60",TRUE,"60+")</f>
        <v>26-35</v>
      </c>
      <c r="C297" t="s">
        <v>14</v>
      </c>
      <c r="D297">
        <v>2</v>
      </c>
      <c r="E297" t="s">
        <v>10</v>
      </c>
      <c r="F297" t="s">
        <v>12</v>
      </c>
      <c r="G297" t="s">
        <v>15</v>
      </c>
      <c r="H297">
        <v>9960</v>
      </c>
      <c r="I297">
        <v>48</v>
      </c>
      <c r="J297" t="s">
        <v>18</v>
      </c>
      <c r="K297" t="str">
        <f>IF(AND(credit[[#This Row],[Credit amount]]&gt;9000,credit[[#This Row],[Saving accounts]]="little"),"High","Low")</f>
        <v>High</v>
      </c>
    </row>
    <row r="298" spans="1:11" x14ac:dyDescent="0.25">
      <c r="A298">
        <v>20</v>
      </c>
      <c r="B298" s="13" t="str" cm="1">
        <f t="array" ref="B298">_xlfn.IFS(credit[[#This Row],[Age]]&lt;=25,"18-25",credit[[#This Row],[Age]]&lt;=35,"26-35",credit[[#This Row],[Age]]&lt;=45,"36-45",credit[[#This Row],[Age]]&lt;=60,"46-60",TRUE,"60+")</f>
        <v>18-25</v>
      </c>
      <c r="C298" t="s">
        <v>14</v>
      </c>
      <c r="D298">
        <v>2</v>
      </c>
      <c r="E298" t="s">
        <v>21</v>
      </c>
      <c r="F298" t="s">
        <v>11</v>
      </c>
      <c r="G298" t="s">
        <v>11</v>
      </c>
      <c r="H298">
        <v>4675</v>
      </c>
      <c r="I298">
        <v>12</v>
      </c>
      <c r="J298" t="s">
        <v>19</v>
      </c>
      <c r="K298" t="str">
        <f>IF(AND(credit[[#This Row],[Credit amount]]&gt;9000,credit[[#This Row],[Saving accounts]]="little"),"High","Low")</f>
        <v>Low</v>
      </c>
    </row>
    <row r="299" spans="1:11" x14ac:dyDescent="0.25">
      <c r="A299">
        <v>45</v>
      </c>
      <c r="B299" s="13" t="str" cm="1">
        <f t="array" ref="B299">_xlfn.IFS(credit[[#This Row],[Age]]&lt;=25,"18-25",credit[[#This Row],[Age]]&lt;=35,"26-35",credit[[#This Row],[Age]]&lt;=45,"36-45",credit[[#This Row],[Age]]&lt;=60,"46-60",TRUE,"60+")</f>
        <v>36-45</v>
      </c>
      <c r="C299" t="s">
        <v>9</v>
      </c>
      <c r="D299">
        <v>1</v>
      </c>
      <c r="E299" t="s">
        <v>10</v>
      </c>
      <c r="F299" t="s">
        <v>11</v>
      </c>
      <c r="G299" t="s">
        <v>11</v>
      </c>
      <c r="H299">
        <v>1287</v>
      </c>
      <c r="I299">
        <v>10</v>
      </c>
      <c r="J299" t="s">
        <v>19</v>
      </c>
      <c r="K299" t="str">
        <f>IF(AND(credit[[#This Row],[Credit amount]]&gt;9000,credit[[#This Row],[Saving accounts]]="little"),"High","Low")</f>
        <v>Low</v>
      </c>
    </row>
    <row r="300" spans="1:11" x14ac:dyDescent="0.25">
      <c r="A300">
        <v>43</v>
      </c>
      <c r="B300" s="13" t="str" cm="1">
        <f t="array" ref="B300">_xlfn.IFS(credit[[#This Row],[Age]]&lt;=25,"18-25",credit[[#This Row],[Age]]&lt;=35,"26-35",credit[[#This Row],[Age]]&lt;=45,"36-45",credit[[#This Row],[Age]]&lt;=60,"46-60",TRUE,"60+")</f>
        <v>36-45</v>
      </c>
      <c r="C300" t="s">
        <v>9</v>
      </c>
      <c r="D300">
        <v>2</v>
      </c>
      <c r="E300" t="s">
        <v>10</v>
      </c>
      <c r="F300" t="s">
        <v>12</v>
      </c>
      <c r="G300" t="s">
        <v>11</v>
      </c>
      <c r="H300">
        <v>2515</v>
      </c>
      <c r="I300">
        <v>18</v>
      </c>
      <c r="J300" t="s">
        <v>18</v>
      </c>
      <c r="K300" t="str">
        <f>IF(AND(credit[[#This Row],[Credit amount]]&gt;9000,credit[[#This Row],[Saving accounts]]="little"),"High","Low")</f>
        <v>Low</v>
      </c>
    </row>
    <row r="301" spans="1:11" x14ac:dyDescent="0.25">
      <c r="A301">
        <v>32</v>
      </c>
      <c r="B301" s="13" t="str" cm="1">
        <f t="array" ref="B301">_xlfn.IFS(credit[[#This Row],[Age]]&lt;=25,"18-25",credit[[#This Row],[Age]]&lt;=35,"26-35",credit[[#This Row],[Age]]&lt;=45,"36-45",credit[[#This Row],[Age]]&lt;=60,"46-60",TRUE,"60+")</f>
        <v>26-35</v>
      </c>
      <c r="C301" t="s">
        <v>9</v>
      </c>
      <c r="D301">
        <v>2</v>
      </c>
      <c r="E301" t="s">
        <v>10</v>
      </c>
      <c r="F301" t="s">
        <v>22</v>
      </c>
      <c r="G301" t="s">
        <v>15</v>
      </c>
      <c r="H301">
        <v>2745</v>
      </c>
      <c r="I301">
        <v>21</v>
      </c>
      <c r="J301" t="s">
        <v>18</v>
      </c>
      <c r="K301" t="str">
        <f>IF(AND(credit[[#This Row],[Credit amount]]&gt;9000,credit[[#This Row],[Saving accounts]]="little"),"High","Low")</f>
        <v>Low</v>
      </c>
    </row>
    <row r="302" spans="1:11" x14ac:dyDescent="0.25">
      <c r="A302">
        <v>54</v>
      </c>
      <c r="B302" s="13" t="str" cm="1">
        <f t="array" ref="B302">_xlfn.IFS(credit[[#This Row],[Age]]&lt;=25,"18-25",credit[[#This Row],[Age]]&lt;=35,"26-35",credit[[#This Row],[Age]]&lt;=45,"36-45",credit[[#This Row],[Age]]&lt;=60,"46-60",TRUE,"60+")</f>
        <v>46-60</v>
      </c>
      <c r="C302" t="s">
        <v>14</v>
      </c>
      <c r="D302">
        <v>0</v>
      </c>
      <c r="E302" t="s">
        <v>10</v>
      </c>
      <c r="F302" t="s">
        <v>12</v>
      </c>
      <c r="G302" t="s">
        <v>11</v>
      </c>
      <c r="H302">
        <v>672</v>
      </c>
      <c r="I302">
        <v>6</v>
      </c>
      <c r="J302" t="s">
        <v>19</v>
      </c>
      <c r="K302" t="str">
        <f>IF(AND(credit[[#This Row],[Credit amount]]&gt;9000,credit[[#This Row],[Saving accounts]]="little"),"High","Low")</f>
        <v>Low</v>
      </c>
    </row>
    <row r="303" spans="1:11" x14ac:dyDescent="0.25">
      <c r="A303">
        <v>42</v>
      </c>
      <c r="B303" s="13" t="str" cm="1">
        <f t="array" ref="B303">_xlfn.IFS(credit[[#This Row],[Age]]&lt;=25,"18-25",credit[[#This Row],[Age]]&lt;=35,"26-35",credit[[#This Row],[Age]]&lt;=45,"36-45",credit[[#This Row],[Age]]&lt;=60,"46-60",TRUE,"60+")</f>
        <v>36-45</v>
      </c>
      <c r="C303" t="s">
        <v>14</v>
      </c>
      <c r="D303">
        <v>2</v>
      </c>
      <c r="E303" t="s">
        <v>10</v>
      </c>
      <c r="F303" t="s">
        <v>12</v>
      </c>
      <c r="G303" t="s">
        <v>15</v>
      </c>
      <c r="H303">
        <v>3804</v>
      </c>
      <c r="I303">
        <v>36</v>
      </c>
      <c r="J303" t="s">
        <v>13</v>
      </c>
      <c r="K303" t="str">
        <f>IF(AND(credit[[#This Row],[Credit amount]]&gt;9000,credit[[#This Row],[Saving accounts]]="little"),"High","Low")</f>
        <v>Low</v>
      </c>
    </row>
    <row r="304" spans="1:11" x14ac:dyDescent="0.25">
      <c r="A304">
        <v>37</v>
      </c>
      <c r="B304" s="13" t="str" cm="1">
        <f t="array" ref="B304">_xlfn.IFS(credit[[#This Row],[Age]]&lt;=25,"18-25",credit[[#This Row],[Age]]&lt;=35,"26-35",credit[[#This Row],[Age]]&lt;=45,"36-45",credit[[#This Row],[Age]]&lt;=60,"46-60",TRUE,"60+")</f>
        <v>36-45</v>
      </c>
      <c r="C304" t="s">
        <v>9</v>
      </c>
      <c r="D304">
        <v>1</v>
      </c>
      <c r="E304" t="s">
        <v>10</v>
      </c>
      <c r="F304" t="s">
        <v>11</v>
      </c>
      <c r="G304" t="s">
        <v>22</v>
      </c>
      <c r="H304">
        <v>1344</v>
      </c>
      <c r="I304">
        <v>24</v>
      </c>
      <c r="J304" t="s">
        <v>19</v>
      </c>
      <c r="K304" t="str">
        <f>IF(AND(credit[[#This Row],[Credit amount]]&gt;9000,credit[[#This Row],[Saving accounts]]="little"),"High","Low")</f>
        <v>Low</v>
      </c>
    </row>
    <row r="305" spans="1:11" x14ac:dyDescent="0.25">
      <c r="A305">
        <v>49</v>
      </c>
      <c r="B305" s="13" t="str" cm="1">
        <f t="array" ref="B305">_xlfn.IFS(credit[[#This Row],[Age]]&lt;=25,"18-25",credit[[#This Row],[Age]]&lt;=35,"26-35",credit[[#This Row],[Age]]&lt;=45,"36-45",credit[[#This Row],[Age]]&lt;=60,"46-60",TRUE,"60+")</f>
        <v>46-60</v>
      </c>
      <c r="C305" t="s">
        <v>9</v>
      </c>
      <c r="D305">
        <v>2</v>
      </c>
      <c r="E305" t="s">
        <v>10</v>
      </c>
      <c r="F305" t="s">
        <v>12</v>
      </c>
      <c r="G305" t="s">
        <v>12</v>
      </c>
      <c r="H305">
        <v>1038</v>
      </c>
      <c r="I305">
        <v>10</v>
      </c>
      <c r="J305" t="s">
        <v>19</v>
      </c>
      <c r="K305" t="str">
        <f>IF(AND(credit[[#This Row],[Credit amount]]&gt;9000,credit[[#This Row],[Saving accounts]]="little"),"High","Low")</f>
        <v>Low</v>
      </c>
    </row>
    <row r="306" spans="1:11" x14ac:dyDescent="0.25">
      <c r="A306">
        <v>44</v>
      </c>
      <c r="B306" s="13" t="str" cm="1">
        <f t="array" ref="B306">_xlfn.IFS(credit[[#This Row],[Age]]&lt;=25,"18-25",credit[[#This Row],[Age]]&lt;=35,"26-35",credit[[#This Row],[Age]]&lt;=45,"36-45",credit[[#This Row],[Age]]&lt;=60,"46-60",TRUE,"60+")</f>
        <v>36-45</v>
      </c>
      <c r="C306" t="s">
        <v>9</v>
      </c>
      <c r="D306">
        <v>2</v>
      </c>
      <c r="E306" t="s">
        <v>17</v>
      </c>
      <c r="F306" t="s">
        <v>20</v>
      </c>
      <c r="G306" t="s">
        <v>11</v>
      </c>
      <c r="H306">
        <v>10127</v>
      </c>
      <c r="I306">
        <v>48</v>
      </c>
      <c r="J306" t="s">
        <v>19</v>
      </c>
      <c r="K306" t="str">
        <f>IF(AND(credit[[#This Row],[Credit amount]]&gt;9000,credit[[#This Row],[Saving accounts]]="little"),"High","Low")</f>
        <v>Low</v>
      </c>
    </row>
    <row r="307" spans="1:11" x14ac:dyDescent="0.25">
      <c r="A307">
        <v>33</v>
      </c>
      <c r="B307" s="13" t="str" cm="1">
        <f t="array" ref="B307">_xlfn.IFS(credit[[#This Row],[Age]]&lt;=25,"18-25",credit[[#This Row],[Age]]&lt;=35,"26-35",credit[[#This Row],[Age]]&lt;=45,"36-45",credit[[#This Row],[Age]]&lt;=60,"46-60",TRUE,"60+")</f>
        <v>26-35</v>
      </c>
      <c r="C307" t="s">
        <v>9</v>
      </c>
      <c r="D307">
        <v>2</v>
      </c>
      <c r="E307" t="s">
        <v>10</v>
      </c>
      <c r="F307" t="s">
        <v>22</v>
      </c>
      <c r="G307" t="s">
        <v>11</v>
      </c>
      <c r="H307">
        <v>1543</v>
      </c>
      <c r="I307">
        <v>6</v>
      </c>
      <c r="J307" t="s">
        <v>18</v>
      </c>
      <c r="K307" t="str">
        <f>IF(AND(credit[[#This Row],[Credit amount]]&gt;9000,credit[[#This Row],[Saving accounts]]="little"),"High","Low")</f>
        <v>Low</v>
      </c>
    </row>
    <row r="308" spans="1:11" x14ac:dyDescent="0.25">
      <c r="A308">
        <v>24</v>
      </c>
      <c r="B308" s="13" t="str" cm="1">
        <f t="array" ref="B308">_xlfn.IFS(credit[[#This Row],[Age]]&lt;=25,"18-25",credit[[#This Row],[Age]]&lt;=35,"26-35",credit[[#This Row],[Age]]&lt;=45,"36-45",credit[[#This Row],[Age]]&lt;=60,"46-60",TRUE,"60+")</f>
        <v>18-25</v>
      </c>
      <c r="C308" t="s">
        <v>14</v>
      </c>
      <c r="D308">
        <v>1</v>
      </c>
      <c r="E308" t="s">
        <v>21</v>
      </c>
      <c r="F308" t="s">
        <v>11</v>
      </c>
      <c r="G308" t="s">
        <v>11</v>
      </c>
      <c r="H308">
        <v>4811</v>
      </c>
      <c r="I308">
        <v>30</v>
      </c>
      <c r="J308" t="s">
        <v>19</v>
      </c>
      <c r="K308" t="str">
        <f>IF(AND(credit[[#This Row],[Credit amount]]&gt;9000,credit[[#This Row],[Saving accounts]]="little"),"High","Low")</f>
        <v>Low</v>
      </c>
    </row>
    <row r="309" spans="1:11" x14ac:dyDescent="0.25">
      <c r="A309">
        <v>33</v>
      </c>
      <c r="B309" s="13" t="str" cm="1">
        <f t="array" ref="B309">_xlfn.IFS(credit[[#This Row],[Age]]&lt;=25,"18-25",credit[[#This Row],[Age]]&lt;=35,"26-35",credit[[#This Row],[Age]]&lt;=45,"36-45",credit[[#This Row],[Age]]&lt;=60,"46-60",TRUE,"60+")</f>
        <v>26-35</v>
      </c>
      <c r="C309" t="s">
        <v>9</v>
      </c>
      <c r="D309">
        <v>1</v>
      </c>
      <c r="E309" t="s">
        <v>10</v>
      </c>
      <c r="F309" t="s">
        <v>15</v>
      </c>
      <c r="G309" t="s">
        <v>12</v>
      </c>
      <c r="H309">
        <v>727</v>
      </c>
      <c r="I309">
        <v>12</v>
      </c>
      <c r="J309" t="s">
        <v>13</v>
      </c>
      <c r="K309" t="str">
        <f>IF(AND(credit[[#This Row],[Credit amount]]&gt;9000,credit[[#This Row],[Saving accounts]]="little"),"High","Low")</f>
        <v>Low</v>
      </c>
    </row>
    <row r="310" spans="1:11" x14ac:dyDescent="0.25">
      <c r="A310">
        <v>24</v>
      </c>
      <c r="B310" s="13" t="str" cm="1">
        <f t="array" ref="B310">_xlfn.IFS(credit[[#This Row],[Age]]&lt;=25,"18-25",credit[[#This Row],[Age]]&lt;=35,"26-35",credit[[#This Row],[Age]]&lt;=45,"36-45",credit[[#This Row],[Age]]&lt;=60,"46-60",TRUE,"60+")</f>
        <v>18-25</v>
      </c>
      <c r="C310" t="s">
        <v>14</v>
      </c>
      <c r="D310">
        <v>2</v>
      </c>
      <c r="E310" t="s">
        <v>10</v>
      </c>
      <c r="F310" t="s">
        <v>12</v>
      </c>
      <c r="G310" t="s">
        <v>15</v>
      </c>
      <c r="H310">
        <v>1237</v>
      </c>
      <c r="I310">
        <v>8</v>
      </c>
      <c r="J310" t="s">
        <v>18</v>
      </c>
      <c r="K310" t="str">
        <f>IF(AND(credit[[#This Row],[Credit amount]]&gt;9000,credit[[#This Row],[Saving accounts]]="little"),"High","Low")</f>
        <v>Low</v>
      </c>
    </row>
    <row r="311" spans="1:11" x14ac:dyDescent="0.25">
      <c r="A311">
        <v>22</v>
      </c>
      <c r="B311" s="13" t="str" cm="1">
        <f t="array" ref="B311">_xlfn.IFS(credit[[#This Row],[Age]]&lt;=25,"18-25",credit[[#This Row],[Age]]&lt;=35,"26-35",credit[[#This Row],[Age]]&lt;=45,"36-45",credit[[#This Row],[Age]]&lt;=60,"46-60",TRUE,"60+")</f>
        <v>18-25</v>
      </c>
      <c r="C311" t="s">
        <v>9</v>
      </c>
      <c r="D311">
        <v>1</v>
      </c>
      <c r="E311" t="s">
        <v>21</v>
      </c>
      <c r="F311" t="s">
        <v>12</v>
      </c>
      <c r="G311" t="s">
        <v>15</v>
      </c>
      <c r="H311">
        <v>276</v>
      </c>
      <c r="I311">
        <v>9</v>
      </c>
      <c r="J311" t="s">
        <v>19</v>
      </c>
      <c r="K311" t="str">
        <f>IF(AND(credit[[#This Row],[Credit amount]]&gt;9000,credit[[#This Row],[Saving accounts]]="little"),"High","Low")</f>
        <v>Low</v>
      </c>
    </row>
    <row r="312" spans="1:11" x14ac:dyDescent="0.25">
      <c r="A312">
        <v>40</v>
      </c>
      <c r="B312" s="13" t="str" cm="1">
        <f t="array" ref="B312">_xlfn.IFS(credit[[#This Row],[Age]]&lt;=25,"18-25",credit[[#This Row],[Age]]&lt;=35,"26-35",credit[[#This Row],[Age]]&lt;=45,"36-45",credit[[#This Row],[Age]]&lt;=60,"46-60",TRUE,"60+")</f>
        <v>36-45</v>
      </c>
      <c r="C312" t="s">
        <v>9</v>
      </c>
      <c r="D312">
        <v>0</v>
      </c>
      <c r="E312" t="s">
        <v>17</v>
      </c>
      <c r="F312" t="s">
        <v>11</v>
      </c>
      <c r="G312" t="s">
        <v>15</v>
      </c>
      <c r="H312">
        <v>5381</v>
      </c>
      <c r="I312">
        <v>48</v>
      </c>
      <c r="J312" t="s">
        <v>26</v>
      </c>
      <c r="K312" t="str">
        <f>IF(AND(credit[[#This Row],[Credit amount]]&gt;9000,credit[[#This Row],[Saving accounts]]="little"),"High","Low")</f>
        <v>Low</v>
      </c>
    </row>
    <row r="313" spans="1:11" x14ac:dyDescent="0.25">
      <c r="A313">
        <v>25</v>
      </c>
      <c r="B313" s="13" t="str" cm="1">
        <f t="array" ref="B313">_xlfn.IFS(credit[[#This Row],[Age]]&lt;=25,"18-25",credit[[#This Row],[Age]]&lt;=35,"26-35",credit[[#This Row],[Age]]&lt;=45,"36-45",credit[[#This Row],[Age]]&lt;=60,"46-60",TRUE,"60+")</f>
        <v>18-25</v>
      </c>
      <c r="C313" t="s">
        <v>9</v>
      </c>
      <c r="D313">
        <v>2</v>
      </c>
      <c r="E313" t="s">
        <v>10</v>
      </c>
      <c r="F313" t="s">
        <v>15</v>
      </c>
      <c r="G313" t="s">
        <v>11</v>
      </c>
      <c r="H313">
        <v>5511</v>
      </c>
      <c r="I313">
        <v>24</v>
      </c>
      <c r="J313" t="s">
        <v>18</v>
      </c>
      <c r="K313" t="str">
        <f>IF(AND(credit[[#This Row],[Credit amount]]&gt;9000,credit[[#This Row],[Saving accounts]]="little"),"High","Low")</f>
        <v>Low</v>
      </c>
    </row>
    <row r="314" spans="1:11" x14ac:dyDescent="0.25">
      <c r="A314">
        <v>26</v>
      </c>
      <c r="B314" s="13" t="str" cm="1">
        <f t="array" ref="B314">_xlfn.IFS(credit[[#This Row],[Age]]&lt;=25,"18-25",credit[[#This Row],[Age]]&lt;=35,"26-35",credit[[#This Row],[Age]]&lt;=45,"36-45",credit[[#This Row],[Age]]&lt;=60,"46-60",TRUE,"60+")</f>
        <v>26-35</v>
      </c>
      <c r="C314" t="s">
        <v>14</v>
      </c>
      <c r="D314">
        <v>2</v>
      </c>
      <c r="E314" t="s">
        <v>10</v>
      </c>
      <c r="F314" t="s">
        <v>12</v>
      </c>
      <c r="G314" t="s">
        <v>22</v>
      </c>
      <c r="H314">
        <v>3749</v>
      </c>
      <c r="I314">
        <v>24</v>
      </c>
      <c r="J314" t="s">
        <v>18</v>
      </c>
      <c r="K314" t="str">
        <f>IF(AND(credit[[#This Row],[Credit amount]]&gt;9000,credit[[#This Row],[Saving accounts]]="little"),"High","Low")</f>
        <v>Low</v>
      </c>
    </row>
    <row r="315" spans="1:11" x14ac:dyDescent="0.25">
      <c r="A315">
        <v>25</v>
      </c>
      <c r="B315" s="13" t="str" cm="1">
        <f t="array" ref="B315">_xlfn.IFS(credit[[#This Row],[Age]]&lt;=25,"18-25",credit[[#This Row],[Age]]&lt;=35,"26-35",credit[[#This Row],[Age]]&lt;=45,"36-45",credit[[#This Row],[Age]]&lt;=60,"46-60",TRUE,"60+")</f>
        <v>18-25</v>
      </c>
      <c r="C315" t="s">
        <v>9</v>
      </c>
      <c r="D315">
        <v>1</v>
      </c>
      <c r="E315" t="s">
        <v>10</v>
      </c>
      <c r="F315" t="s">
        <v>12</v>
      </c>
      <c r="G315" t="s">
        <v>15</v>
      </c>
      <c r="H315">
        <v>685</v>
      </c>
      <c r="I315">
        <v>12</v>
      </c>
      <c r="J315" t="s">
        <v>19</v>
      </c>
      <c r="K315" t="str">
        <f>IF(AND(credit[[#This Row],[Credit amount]]&gt;9000,credit[[#This Row],[Saving accounts]]="little"),"High","Low")</f>
        <v>Low</v>
      </c>
    </row>
    <row r="316" spans="1:11" x14ac:dyDescent="0.25">
      <c r="A316">
        <v>29</v>
      </c>
      <c r="B316" s="13" t="str" cm="1">
        <f t="array" ref="B316">_xlfn.IFS(credit[[#This Row],[Age]]&lt;=25,"18-25",credit[[#This Row],[Age]]&lt;=35,"26-35",credit[[#This Row],[Age]]&lt;=45,"36-45",credit[[#This Row],[Age]]&lt;=60,"46-60",TRUE,"60+")</f>
        <v>26-35</v>
      </c>
      <c r="C316" t="s">
        <v>9</v>
      </c>
      <c r="D316">
        <v>1</v>
      </c>
      <c r="E316" t="s">
        <v>10</v>
      </c>
      <c r="F316" t="s">
        <v>11</v>
      </c>
      <c r="G316" t="s">
        <v>22</v>
      </c>
      <c r="H316">
        <v>1494</v>
      </c>
      <c r="I316">
        <v>4</v>
      </c>
      <c r="J316" t="s">
        <v>19</v>
      </c>
      <c r="K316" t="str">
        <f>IF(AND(credit[[#This Row],[Credit amount]]&gt;9000,credit[[#This Row],[Saving accounts]]="little"),"High","Low")</f>
        <v>Low</v>
      </c>
    </row>
    <row r="317" spans="1:11" x14ac:dyDescent="0.25">
      <c r="A317">
        <v>31</v>
      </c>
      <c r="B317" s="13" t="str" cm="1">
        <f t="array" ref="B317">_xlfn.IFS(credit[[#This Row],[Age]]&lt;=25,"18-25",credit[[#This Row],[Age]]&lt;=35,"26-35",credit[[#This Row],[Age]]&lt;=45,"36-45",credit[[#This Row],[Age]]&lt;=60,"46-60",TRUE,"60+")</f>
        <v>26-35</v>
      </c>
      <c r="C317" t="s">
        <v>9</v>
      </c>
      <c r="D317">
        <v>2</v>
      </c>
      <c r="E317" t="s">
        <v>10</v>
      </c>
      <c r="F317" t="s">
        <v>12</v>
      </c>
      <c r="G317" t="s">
        <v>12</v>
      </c>
      <c r="H317">
        <v>2746</v>
      </c>
      <c r="I317">
        <v>36</v>
      </c>
      <c r="J317" t="s">
        <v>18</v>
      </c>
      <c r="K317" t="str">
        <f>IF(AND(credit[[#This Row],[Credit amount]]&gt;9000,credit[[#This Row],[Saving accounts]]="little"),"High","Low")</f>
        <v>Low</v>
      </c>
    </row>
    <row r="318" spans="1:11" x14ac:dyDescent="0.25">
      <c r="A318">
        <v>38</v>
      </c>
      <c r="B318" s="13" t="str" cm="1">
        <f t="array" ref="B318">_xlfn.IFS(credit[[#This Row],[Age]]&lt;=25,"18-25",credit[[#This Row],[Age]]&lt;=35,"26-35",credit[[#This Row],[Age]]&lt;=45,"36-45",credit[[#This Row],[Age]]&lt;=60,"46-60",TRUE,"60+")</f>
        <v>36-45</v>
      </c>
      <c r="C318" t="s">
        <v>9</v>
      </c>
      <c r="D318">
        <v>1</v>
      </c>
      <c r="E318" t="s">
        <v>10</v>
      </c>
      <c r="F318" t="s">
        <v>12</v>
      </c>
      <c r="G318" t="s">
        <v>12</v>
      </c>
      <c r="H318">
        <v>708</v>
      </c>
      <c r="I318">
        <v>12</v>
      </c>
      <c r="J318" t="s">
        <v>18</v>
      </c>
      <c r="K318" t="str">
        <f>IF(AND(credit[[#This Row],[Credit amount]]&gt;9000,credit[[#This Row],[Saving accounts]]="little"),"High","Low")</f>
        <v>Low</v>
      </c>
    </row>
    <row r="319" spans="1:11" x14ac:dyDescent="0.25">
      <c r="A319">
        <v>48</v>
      </c>
      <c r="B319" s="13" t="str" cm="1">
        <f t="array" ref="B319">_xlfn.IFS(credit[[#This Row],[Age]]&lt;=25,"18-25",credit[[#This Row],[Age]]&lt;=35,"26-35",credit[[#This Row],[Age]]&lt;=45,"36-45",credit[[#This Row],[Age]]&lt;=60,"46-60",TRUE,"60+")</f>
        <v>46-60</v>
      </c>
      <c r="C319" t="s">
        <v>14</v>
      </c>
      <c r="D319">
        <v>1</v>
      </c>
      <c r="E319" t="s">
        <v>10</v>
      </c>
      <c r="F319" t="s">
        <v>11</v>
      </c>
      <c r="G319" t="s">
        <v>15</v>
      </c>
      <c r="H319">
        <v>4351</v>
      </c>
      <c r="I319">
        <v>24</v>
      </c>
      <c r="J319" t="s">
        <v>18</v>
      </c>
      <c r="K319" t="str">
        <f>IF(AND(credit[[#This Row],[Credit amount]]&gt;9000,credit[[#This Row],[Saving accounts]]="little"),"High","Low")</f>
        <v>Low</v>
      </c>
    </row>
    <row r="320" spans="1:11" x14ac:dyDescent="0.25">
      <c r="A320">
        <v>32</v>
      </c>
      <c r="B320" s="13" t="str" cm="1">
        <f t="array" ref="B320">_xlfn.IFS(credit[[#This Row],[Age]]&lt;=25,"18-25",credit[[#This Row],[Age]]&lt;=35,"26-35",credit[[#This Row],[Age]]&lt;=45,"36-45",credit[[#This Row],[Age]]&lt;=60,"46-60",TRUE,"60+")</f>
        <v>26-35</v>
      </c>
      <c r="C320" t="s">
        <v>9</v>
      </c>
      <c r="D320">
        <v>2</v>
      </c>
      <c r="E320" t="s">
        <v>10</v>
      </c>
      <c r="F320" t="s">
        <v>12</v>
      </c>
      <c r="G320" t="s">
        <v>11</v>
      </c>
      <c r="H320">
        <v>701</v>
      </c>
      <c r="I320">
        <v>12</v>
      </c>
      <c r="J320" t="s">
        <v>16</v>
      </c>
      <c r="K320" t="str">
        <f>IF(AND(credit[[#This Row],[Credit amount]]&gt;9000,credit[[#This Row],[Saving accounts]]="little"),"High","Low")</f>
        <v>Low</v>
      </c>
    </row>
    <row r="321" spans="1:11" x14ac:dyDescent="0.25">
      <c r="A321">
        <v>27</v>
      </c>
      <c r="B321" s="13" t="str" cm="1">
        <f t="array" ref="B321">_xlfn.IFS(credit[[#This Row],[Age]]&lt;=25,"18-25",credit[[#This Row],[Age]]&lt;=35,"26-35",credit[[#This Row],[Age]]&lt;=45,"36-45",credit[[#This Row],[Age]]&lt;=60,"46-60",TRUE,"60+")</f>
        <v>26-35</v>
      </c>
      <c r="C321" t="s">
        <v>14</v>
      </c>
      <c r="D321">
        <v>1</v>
      </c>
      <c r="E321" t="s">
        <v>10</v>
      </c>
      <c r="F321" t="s">
        <v>12</v>
      </c>
      <c r="G321" t="s">
        <v>12</v>
      </c>
      <c r="H321">
        <v>3643</v>
      </c>
      <c r="I321">
        <v>15</v>
      </c>
      <c r="J321" t="s">
        <v>18</v>
      </c>
      <c r="K321" t="str">
        <f>IF(AND(credit[[#This Row],[Credit amount]]&gt;9000,credit[[#This Row],[Saving accounts]]="little"),"High","Low")</f>
        <v>Low</v>
      </c>
    </row>
    <row r="322" spans="1:11" x14ac:dyDescent="0.25">
      <c r="A322">
        <v>28</v>
      </c>
      <c r="B322" s="13" t="str" cm="1">
        <f t="array" ref="B322">_xlfn.IFS(credit[[#This Row],[Age]]&lt;=25,"18-25",credit[[#This Row],[Age]]&lt;=35,"26-35",credit[[#This Row],[Age]]&lt;=45,"36-45",credit[[#This Row],[Age]]&lt;=60,"46-60",TRUE,"60+")</f>
        <v>26-35</v>
      </c>
      <c r="C322" t="s">
        <v>9</v>
      </c>
      <c r="D322">
        <v>3</v>
      </c>
      <c r="E322" t="s">
        <v>10</v>
      </c>
      <c r="F322" t="s">
        <v>12</v>
      </c>
      <c r="G322" t="s">
        <v>15</v>
      </c>
      <c r="H322">
        <v>4249</v>
      </c>
      <c r="I322">
        <v>30</v>
      </c>
      <c r="J322" t="s">
        <v>19</v>
      </c>
      <c r="K322" t="str">
        <f>IF(AND(credit[[#This Row],[Credit amount]]&gt;9000,credit[[#This Row],[Saving accounts]]="little"),"High","Low")</f>
        <v>Low</v>
      </c>
    </row>
    <row r="323" spans="1:11" x14ac:dyDescent="0.25">
      <c r="A323">
        <v>32</v>
      </c>
      <c r="B323" s="13" t="str" cm="1">
        <f t="array" ref="B323">_xlfn.IFS(credit[[#This Row],[Age]]&lt;=25,"18-25",credit[[#This Row],[Age]]&lt;=35,"26-35",credit[[#This Row],[Age]]&lt;=45,"36-45",credit[[#This Row],[Age]]&lt;=60,"46-60",TRUE,"60+")</f>
        <v>26-35</v>
      </c>
      <c r="C323" t="s">
        <v>9</v>
      </c>
      <c r="D323">
        <v>2</v>
      </c>
      <c r="E323" t="s">
        <v>10</v>
      </c>
      <c r="F323" t="s">
        <v>12</v>
      </c>
      <c r="G323" t="s">
        <v>12</v>
      </c>
      <c r="H323">
        <v>1938</v>
      </c>
      <c r="I323">
        <v>24</v>
      </c>
      <c r="J323" t="s">
        <v>13</v>
      </c>
      <c r="K323" t="str">
        <f>IF(AND(credit[[#This Row],[Credit amount]]&gt;9000,credit[[#This Row],[Saving accounts]]="little"),"High","Low")</f>
        <v>Low</v>
      </c>
    </row>
    <row r="324" spans="1:11" x14ac:dyDescent="0.25">
      <c r="A324">
        <v>34</v>
      </c>
      <c r="B324" s="13" t="str" cm="1">
        <f t="array" ref="B324">_xlfn.IFS(credit[[#This Row],[Age]]&lt;=25,"18-25",credit[[#This Row],[Age]]&lt;=35,"26-35",credit[[#This Row],[Age]]&lt;=45,"36-45",credit[[#This Row],[Age]]&lt;=60,"46-60",TRUE,"60+")</f>
        <v>26-35</v>
      </c>
      <c r="C324" t="s">
        <v>9</v>
      </c>
      <c r="D324">
        <v>3</v>
      </c>
      <c r="E324" t="s">
        <v>17</v>
      </c>
      <c r="F324" t="s">
        <v>12</v>
      </c>
      <c r="G324" t="s">
        <v>12</v>
      </c>
      <c r="H324">
        <v>2910</v>
      </c>
      <c r="I324">
        <v>24</v>
      </c>
      <c r="J324" t="s">
        <v>19</v>
      </c>
      <c r="K324" t="str">
        <f>IF(AND(credit[[#This Row],[Credit amount]]&gt;9000,credit[[#This Row],[Saving accounts]]="little"),"High","Low")</f>
        <v>Low</v>
      </c>
    </row>
    <row r="325" spans="1:11" x14ac:dyDescent="0.25">
      <c r="A325">
        <v>28</v>
      </c>
      <c r="B325" s="13" t="str" cm="1">
        <f t="array" ref="B325">_xlfn.IFS(credit[[#This Row],[Age]]&lt;=25,"18-25",credit[[#This Row],[Age]]&lt;=35,"26-35",credit[[#This Row],[Age]]&lt;=45,"36-45",credit[[#This Row],[Age]]&lt;=60,"46-60",TRUE,"60+")</f>
        <v>26-35</v>
      </c>
      <c r="C325" t="s">
        <v>9</v>
      </c>
      <c r="D325">
        <v>2</v>
      </c>
      <c r="E325" t="s">
        <v>10</v>
      </c>
      <c r="F325" t="s">
        <v>22</v>
      </c>
      <c r="G325" t="s">
        <v>12</v>
      </c>
      <c r="H325">
        <v>2659</v>
      </c>
      <c r="I325">
        <v>18</v>
      </c>
      <c r="J325" t="s">
        <v>18</v>
      </c>
      <c r="K325" t="str">
        <f>IF(AND(credit[[#This Row],[Credit amount]]&gt;9000,credit[[#This Row],[Saving accounts]]="little"),"High","Low")</f>
        <v>Low</v>
      </c>
    </row>
    <row r="326" spans="1:11" x14ac:dyDescent="0.25">
      <c r="A326">
        <v>36</v>
      </c>
      <c r="B326" s="13" t="str" cm="1">
        <f t="array" ref="B326">_xlfn.IFS(credit[[#This Row],[Age]]&lt;=25,"18-25",credit[[#This Row],[Age]]&lt;=35,"26-35",credit[[#This Row],[Age]]&lt;=45,"36-45",credit[[#This Row],[Age]]&lt;=60,"46-60",TRUE,"60+")</f>
        <v>36-45</v>
      </c>
      <c r="C326" t="s">
        <v>14</v>
      </c>
      <c r="D326">
        <v>2</v>
      </c>
      <c r="E326" t="s">
        <v>10</v>
      </c>
      <c r="F326" t="s">
        <v>12</v>
      </c>
      <c r="G326" t="s">
        <v>11</v>
      </c>
      <c r="H326">
        <v>1028</v>
      </c>
      <c r="I326">
        <v>18</v>
      </c>
      <c r="J326" t="s">
        <v>19</v>
      </c>
      <c r="K326" t="str">
        <f>IF(AND(credit[[#This Row],[Credit amount]]&gt;9000,credit[[#This Row],[Saving accounts]]="little"),"High","Low")</f>
        <v>Low</v>
      </c>
    </row>
    <row r="327" spans="1:11" x14ac:dyDescent="0.25">
      <c r="A327">
        <v>39</v>
      </c>
      <c r="B327" s="13" t="str" cm="1">
        <f t="array" ref="B327">_xlfn.IFS(credit[[#This Row],[Age]]&lt;=25,"18-25",credit[[#This Row],[Age]]&lt;=35,"26-35",credit[[#This Row],[Age]]&lt;=45,"36-45",credit[[#This Row],[Age]]&lt;=60,"46-60",TRUE,"60+")</f>
        <v>36-45</v>
      </c>
      <c r="C327" t="s">
        <v>9</v>
      </c>
      <c r="D327">
        <v>1</v>
      </c>
      <c r="E327" t="s">
        <v>10</v>
      </c>
      <c r="F327" t="s">
        <v>12</v>
      </c>
      <c r="G327" t="s">
        <v>12</v>
      </c>
      <c r="H327">
        <v>3398</v>
      </c>
      <c r="I327">
        <v>8</v>
      </c>
      <c r="J327" t="s">
        <v>19</v>
      </c>
      <c r="K327" t="str">
        <f>IF(AND(credit[[#This Row],[Credit amount]]&gt;9000,credit[[#This Row],[Saving accounts]]="little"),"High","Low")</f>
        <v>Low</v>
      </c>
    </row>
    <row r="328" spans="1:11" x14ac:dyDescent="0.25">
      <c r="A328">
        <v>49</v>
      </c>
      <c r="B328" s="13" t="str" cm="1">
        <f t="array" ref="B328">_xlfn.IFS(credit[[#This Row],[Age]]&lt;=25,"18-25",credit[[#This Row],[Age]]&lt;=35,"26-35",credit[[#This Row],[Age]]&lt;=45,"36-45",credit[[#This Row],[Age]]&lt;=60,"46-60",TRUE,"60+")</f>
        <v>46-60</v>
      </c>
      <c r="C328" t="s">
        <v>9</v>
      </c>
      <c r="D328">
        <v>2</v>
      </c>
      <c r="E328" t="s">
        <v>21</v>
      </c>
      <c r="F328" t="s">
        <v>11</v>
      </c>
      <c r="G328" t="s">
        <v>11</v>
      </c>
      <c r="H328">
        <v>5801</v>
      </c>
      <c r="I328">
        <v>12</v>
      </c>
      <c r="J328" t="s">
        <v>18</v>
      </c>
      <c r="K328" t="str">
        <f>IF(AND(credit[[#This Row],[Credit amount]]&gt;9000,credit[[#This Row],[Saving accounts]]="little"),"High","Low")</f>
        <v>Low</v>
      </c>
    </row>
    <row r="329" spans="1:11" x14ac:dyDescent="0.25">
      <c r="A329">
        <v>34</v>
      </c>
      <c r="B329" s="13" t="str" cm="1">
        <f t="array" ref="B329">_xlfn.IFS(credit[[#This Row],[Age]]&lt;=25,"18-25",credit[[#This Row],[Age]]&lt;=35,"26-35",credit[[#This Row],[Age]]&lt;=45,"36-45",credit[[#This Row],[Age]]&lt;=60,"46-60",TRUE,"60+")</f>
        <v>26-35</v>
      </c>
      <c r="C329" t="s">
        <v>14</v>
      </c>
      <c r="D329">
        <v>2</v>
      </c>
      <c r="E329" t="s">
        <v>10</v>
      </c>
      <c r="F329" t="s">
        <v>22</v>
      </c>
      <c r="G329" t="s">
        <v>11</v>
      </c>
      <c r="H329">
        <v>1525</v>
      </c>
      <c r="I329">
        <v>24</v>
      </c>
      <c r="J329" t="s">
        <v>19</v>
      </c>
      <c r="K329" t="str">
        <f>IF(AND(credit[[#This Row],[Credit amount]]&gt;9000,credit[[#This Row],[Saving accounts]]="little"),"High","Low")</f>
        <v>Low</v>
      </c>
    </row>
    <row r="330" spans="1:11" x14ac:dyDescent="0.25">
      <c r="A330">
        <v>31</v>
      </c>
      <c r="B330" s="13" t="str" cm="1">
        <f t="array" ref="B330">_xlfn.IFS(credit[[#This Row],[Age]]&lt;=25,"18-25",credit[[#This Row],[Age]]&lt;=35,"26-35",credit[[#This Row],[Age]]&lt;=45,"36-45",credit[[#This Row],[Age]]&lt;=60,"46-60",TRUE,"60+")</f>
        <v>26-35</v>
      </c>
      <c r="C330" t="s">
        <v>9</v>
      </c>
      <c r="D330">
        <v>2</v>
      </c>
      <c r="E330" t="s">
        <v>10</v>
      </c>
      <c r="F330" t="s">
        <v>12</v>
      </c>
      <c r="G330" t="s">
        <v>22</v>
      </c>
      <c r="H330">
        <v>4473</v>
      </c>
      <c r="I330">
        <v>36</v>
      </c>
      <c r="J330" t="s">
        <v>13</v>
      </c>
      <c r="K330" t="str">
        <f>IF(AND(credit[[#This Row],[Credit amount]]&gt;9000,credit[[#This Row],[Saving accounts]]="little"),"High","Low")</f>
        <v>Low</v>
      </c>
    </row>
    <row r="331" spans="1:11" x14ac:dyDescent="0.25">
      <c r="A331">
        <v>28</v>
      </c>
      <c r="B331" s="13" t="str" cm="1">
        <f t="array" ref="B331">_xlfn.IFS(credit[[#This Row],[Age]]&lt;=25,"18-25",credit[[#This Row],[Age]]&lt;=35,"26-35",credit[[#This Row],[Age]]&lt;=45,"36-45",credit[[#This Row],[Age]]&lt;=60,"46-60",TRUE,"60+")</f>
        <v>26-35</v>
      </c>
      <c r="C331" t="s">
        <v>9</v>
      </c>
      <c r="D331">
        <v>2</v>
      </c>
      <c r="E331" t="s">
        <v>10</v>
      </c>
      <c r="F331" t="s">
        <v>12</v>
      </c>
      <c r="G331" t="s">
        <v>15</v>
      </c>
      <c r="H331">
        <v>1068</v>
      </c>
      <c r="I331">
        <v>6</v>
      </c>
      <c r="J331" t="s">
        <v>13</v>
      </c>
      <c r="K331" t="str">
        <f>IF(AND(credit[[#This Row],[Credit amount]]&gt;9000,credit[[#This Row],[Saving accounts]]="little"),"High","Low")</f>
        <v>Low</v>
      </c>
    </row>
    <row r="332" spans="1:11" x14ac:dyDescent="0.25">
      <c r="A332">
        <v>75</v>
      </c>
      <c r="B332" s="13" t="str" cm="1">
        <f t="array" ref="B332">_xlfn.IFS(credit[[#This Row],[Age]]&lt;=25,"18-25",credit[[#This Row],[Age]]&lt;=35,"26-35",credit[[#This Row],[Age]]&lt;=45,"36-45",credit[[#This Row],[Age]]&lt;=60,"46-60",TRUE,"60+")</f>
        <v>60+</v>
      </c>
      <c r="C332" t="s">
        <v>9</v>
      </c>
      <c r="D332">
        <v>3</v>
      </c>
      <c r="E332" t="s">
        <v>17</v>
      </c>
      <c r="F332" t="s">
        <v>12</v>
      </c>
      <c r="G332" t="s">
        <v>12</v>
      </c>
      <c r="H332">
        <v>6615</v>
      </c>
      <c r="I332">
        <v>24</v>
      </c>
      <c r="J332" t="s">
        <v>19</v>
      </c>
      <c r="K332" t="str">
        <f>IF(AND(credit[[#This Row],[Credit amount]]&gt;9000,credit[[#This Row],[Saving accounts]]="little"),"High","Low")</f>
        <v>Low</v>
      </c>
    </row>
    <row r="333" spans="1:11" x14ac:dyDescent="0.25">
      <c r="A333">
        <v>30</v>
      </c>
      <c r="B333" s="13" t="str" cm="1">
        <f t="array" ref="B333">_xlfn.IFS(credit[[#This Row],[Age]]&lt;=25,"18-25",credit[[#This Row],[Age]]&lt;=35,"26-35",credit[[#This Row],[Age]]&lt;=45,"36-45",credit[[#This Row],[Age]]&lt;=60,"46-60",TRUE,"60+")</f>
        <v>26-35</v>
      </c>
      <c r="C333" t="s">
        <v>14</v>
      </c>
      <c r="D333">
        <v>2</v>
      </c>
      <c r="E333" t="s">
        <v>10</v>
      </c>
      <c r="F333" t="s">
        <v>15</v>
      </c>
      <c r="G333" t="s">
        <v>11</v>
      </c>
      <c r="H333">
        <v>1864</v>
      </c>
      <c r="I333">
        <v>18</v>
      </c>
      <c r="J333" t="s">
        <v>16</v>
      </c>
      <c r="K333" t="str">
        <f>IF(AND(credit[[#This Row],[Credit amount]]&gt;9000,credit[[#This Row],[Saving accounts]]="little"),"High","Low")</f>
        <v>Low</v>
      </c>
    </row>
    <row r="334" spans="1:11" x14ac:dyDescent="0.25">
      <c r="A334">
        <v>24</v>
      </c>
      <c r="B334" s="13" t="str" cm="1">
        <f t="array" ref="B334">_xlfn.IFS(credit[[#This Row],[Age]]&lt;=25,"18-25",credit[[#This Row],[Age]]&lt;=35,"26-35",credit[[#This Row],[Age]]&lt;=45,"36-45",credit[[#This Row],[Age]]&lt;=60,"46-60",TRUE,"60+")</f>
        <v>18-25</v>
      </c>
      <c r="C334" t="s">
        <v>14</v>
      </c>
      <c r="D334">
        <v>3</v>
      </c>
      <c r="E334" t="s">
        <v>10</v>
      </c>
      <c r="F334" t="s">
        <v>15</v>
      </c>
      <c r="G334" t="s">
        <v>15</v>
      </c>
      <c r="H334">
        <v>7408</v>
      </c>
      <c r="I334">
        <v>60</v>
      </c>
      <c r="J334" t="s">
        <v>19</v>
      </c>
      <c r="K334" t="str">
        <f>IF(AND(credit[[#This Row],[Credit amount]]&gt;9000,credit[[#This Row],[Saving accounts]]="little"),"High","Low")</f>
        <v>Low</v>
      </c>
    </row>
    <row r="335" spans="1:11" x14ac:dyDescent="0.25">
      <c r="A335">
        <v>24</v>
      </c>
      <c r="B335" s="13" t="str" cm="1">
        <f t="array" ref="B335">_xlfn.IFS(credit[[#This Row],[Age]]&lt;=25,"18-25",credit[[#This Row],[Age]]&lt;=35,"26-35",credit[[#This Row],[Age]]&lt;=45,"36-45",credit[[#This Row],[Age]]&lt;=60,"46-60",TRUE,"60+")</f>
        <v>18-25</v>
      </c>
      <c r="C335" t="s">
        <v>14</v>
      </c>
      <c r="D335">
        <v>1</v>
      </c>
      <c r="E335" t="s">
        <v>21</v>
      </c>
      <c r="F335" t="s">
        <v>15</v>
      </c>
      <c r="G335" t="s">
        <v>11</v>
      </c>
      <c r="H335">
        <v>11590</v>
      </c>
      <c r="I335">
        <v>48</v>
      </c>
      <c r="J335" t="s">
        <v>19</v>
      </c>
      <c r="K335" t="str">
        <f>IF(AND(credit[[#This Row],[Credit amount]]&gt;9000,credit[[#This Row],[Saving accounts]]="little"),"High","Low")</f>
        <v>Low</v>
      </c>
    </row>
    <row r="336" spans="1:11" x14ac:dyDescent="0.25">
      <c r="A336">
        <v>23</v>
      </c>
      <c r="B336" s="13" t="str" cm="1">
        <f t="array" ref="B336">_xlfn.IFS(credit[[#This Row],[Age]]&lt;=25,"18-25",credit[[#This Row],[Age]]&lt;=35,"26-35",credit[[#This Row],[Age]]&lt;=45,"36-45",credit[[#This Row],[Age]]&lt;=60,"46-60",TRUE,"60+")</f>
        <v>18-25</v>
      </c>
      <c r="C336" t="s">
        <v>9</v>
      </c>
      <c r="D336">
        <v>2</v>
      </c>
      <c r="E336" t="s">
        <v>21</v>
      </c>
      <c r="F336" t="s">
        <v>12</v>
      </c>
      <c r="G336" t="s">
        <v>12</v>
      </c>
      <c r="H336">
        <v>4110</v>
      </c>
      <c r="I336">
        <v>24</v>
      </c>
      <c r="J336" t="s">
        <v>18</v>
      </c>
      <c r="K336" t="str">
        <f>IF(AND(credit[[#This Row],[Credit amount]]&gt;9000,credit[[#This Row],[Saving accounts]]="little"),"High","Low")</f>
        <v>Low</v>
      </c>
    </row>
    <row r="337" spans="1:11" x14ac:dyDescent="0.25">
      <c r="A337">
        <v>44</v>
      </c>
      <c r="B337" s="13" t="str" cm="1">
        <f t="array" ref="B337">_xlfn.IFS(credit[[#This Row],[Age]]&lt;=25,"18-25",credit[[#This Row],[Age]]&lt;=35,"26-35",credit[[#This Row],[Age]]&lt;=45,"36-45",credit[[#This Row],[Age]]&lt;=60,"46-60",TRUE,"60+")</f>
        <v>36-45</v>
      </c>
      <c r="C337" t="s">
        <v>9</v>
      </c>
      <c r="D337">
        <v>3</v>
      </c>
      <c r="E337" t="s">
        <v>21</v>
      </c>
      <c r="F337" t="s">
        <v>12</v>
      </c>
      <c r="G337" t="s">
        <v>12</v>
      </c>
      <c r="H337">
        <v>3384</v>
      </c>
      <c r="I337">
        <v>6</v>
      </c>
      <c r="J337" t="s">
        <v>18</v>
      </c>
      <c r="K337" t="str">
        <f>IF(AND(credit[[#This Row],[Credit amount]]&gt;9000,credit[[#This Row],[Saving accounts]]="little"),"High","Low")</f>
        <v>Low</v>
      </c>
    </row>
    <row r="338" spans="1:11" x14ac:dyDescent="0.25">
      <c r="A338">
        <v>23</v>
      </c>
      <c r="B338" s="13" t="str" cm="1">
        <f t="array" ref="B338">_xlfn.IFS(credit[[#This Row],[Age]]&lt;=25,"18-25",credit[[#This Row],[Age]]&lt;=35,"26-35",credit[[#This Row],[Age]]&lt;=45,"36-45",credit[[#This Row],[Age]]&lt;=60,"46-60",TRUE,"60+")</f>
        <v>18-25</v>
      </c>
      <c r="C338" t="s">
        <v>14</v>
      </c>
      <c r="D338">
        <v>1</v>
      </c>
      <c r="E338" t="s">
        <v>10</v>
      </c>
      <c r="F338" t="s">
        <v>12</v>
      </c>
      <c r="G338" t="s">
        <v>15</v>
      </c>
      <c r="H338">
        <v>2101</v>
      </c>
      <c r="I338">
        <v>13</v>
      </c>
      <c r="J338" t="s">
        <v>13</v>
      </c>
      <c r="K338" t="str">
        <f>IF(AND(credit[[#This Row],[Credit amount]]&gt;9000,credit[[#This Row],[Saving accounts]]="little"),"High","Low")</f>
        <v>Low</v>
      </c>
    </row>
    <row r="339" spans="1:11" x14ac:dyDescent="0.25">
      <c r="A339">
        <v>24</v>
      </c>
      <c r="B339" s="13" t="str" cm="1">
        <f t="array" ref="B339">_xlfn.IFS(credit[[#This Row],[Age]]&lt;=25,"18-25",credit[[#This Row],[Age]]&lt;=35,"26-35",credit[[#This Row],[Age]]&lt;=45,"36-45",credit[[#This Row],[Age]]&lt;=60,"46-60",TRUE,"60+")</f>
        <v>18-25</v>
      </c>
      <c r="C339" t="s">
        <v>14</v>
      </c>
      <c r="D339">
        <v>2</v>
      </c>
      <c r="E339" t="s">
        <v>21</v>
      </c>
      <c r="F339" t="s">
        <v>11</v>
      </c>
      <c r="G339" t="s">
        <v>12</v>
      </c>
      <c r="H339">
        <v>1275</v>
      </c>
      <c r="I339">
        <v>15</v>
      </c>
      <c r="J339" t="s">
        <v>24</v>
      </c>
      <c r="K339" t="str">
        <f>IF(AND(credit[[#This Row],[Credit amount]]&gt;9000,credit[[#This Row],[Saving accounts]]="little"),"High","Low")</f>
        <v>Low</v>
      </c>
    </row>
    <row r="340" spans="1:11" x14ac:dyDescent="0.25">
      <c r="A340">
        <v>28</v>
      </c>
      <c r="B340" s="13" t="str" cm="1">
        <f t="array" ref="B340">_xlfn.IFS(credit[[#This Row],[Age]]&lt;=25,"18-25",credit[[#This Row],[Age]]&lt;=35,"26-35",credit[[#This Row],[Age]]&lt;=45,"36-45",credit[[#This Row],[Age]]&lt;=60,"46-60",TRUE,"60+")</f>
        <v>26-35</v>
      </c>
      <c r="C340" t="s">
        <v>9</v>
      </c>
      <c r="D340">
        <v>2</v>
      </c>
      <c r="E340" t="s">
        <v>10</v>
      </c>
      <c r="F340" t="s">
        <v>12</v>
      </c>
      <c r="G340" t="s">
        <v>12</v>
      </c>
      <c r="H340">
        <v>4169</v>
      </c>
      <c r="I340">
        <v>24</v>
      </c>
      <c r="J340" t="s">
        <v>18</v>
      </c>
      <c r="K340" t="str">
        <f>IF(AND(credit[[#This Row],[Credit amount]]&gt;9000,credit[[#This Row],[Saving accounts]]="little"),"High","Low")</f>
        <v>Low</v>
      </c>
    </row>
    <row r="341" spans="1:11" x14ac:dyDescent="0.25">
      <c r="A341">
        <v>31</v>
      </c>
      <c r="B341" s="13" t="str" cm="1">
        <f t="array" ref="B341">_xlfn.IFS(credit[[#This Row],[Age]]&lt;=25,"18-25",credit[[#This Row],[Age]]&lt;=35,"26-35",credit[[#This Row],[Age]]&lt;=45,"36-45",credit[[#This Row],[Age]]&lt;=60,"46-60",TRUE,"60+")</f>
        <v>26-35</v>
      </c>
      <c r="C341" t="s">
        <v>9</v>
      </c>
      <c r="D341">
        <v>1</v>
      </c>
      <c r="E341" t="s">
        <v>10</v>
      </c>
      <c r="F341" t="s">
        <v>12</v>
      </c>
      <c r="G341" t="s">
        <v>15</v>
      </c>
      <c r="H341">
        <v>1521</v>
      </c>
      <c r="I341">
        <v>10</v>
      </c>
      <c r="J341" t="s">
        <v>18</v>
      </c>
      <c r="K341" t="str">
        <f>IF(AND(credit[[#This Row],[Credit amount]]&gt;9000,credit[[#This Row],[Saving accounts]]="little"),"High","Low")</f>
        <v>Low</v>
      </c>
    </row>
    <row r="342" spans="1:11" x14ac:dyDescent="0.25">
      <c r="A342">
        <v>24</v>
      </c>
      <c r="B342" s="13" t="str" cm="1">
        <f t="array" ref="B342">_xlfn.IFS(credit[[#This Row],[Age]]&lt;=25,"18-25",credit[[#This Row],[Age]]&lt;=35,"26-35",credit[[#This Row],[Age]]&lt;=45,"36-45",credit[[#This Row],[Age]]&lt;=60,"46-60",TRUE,"60+")</f>
        <v>18-25</v>
      </c>
      <c r="C342" t="s">
        <v>14</v>
      </c>
      <c r="D342">
        <v>2</v>
      </c>
      <c r="E342" t="s">
        <v>17</v>
      </c>
      <c r="F342" t="s">
        <v>12</v>
      </c>
      <c r="G342" t="s">
        <v>15</v>
      </c>
      <c r="H342">
        <v>5743</v>
      </c>
      <c r="I342">
        <v>24</v>
      </c>
      <c r="J342" t="s">
        <v>16</v>
      </c>
      <c r="K342" t="str">
        <f>IF(AND(credit[[#This Row],[Credit amount]]&gt;9000,credit[[#This Row],[Saving accounts]]="little"),"High","Low")</f>
        <v>Low</v>
      </c>
    </row>
    <row r="343" spans="1:11" x14ac:dyDescent="0.25">
      <c r="A343">
        <v>26</v>
      </c>
      <c r="B343" s="13" t="str" cm="1">
        <f t="array" ref="B343">_xlfn.IFS(credit[[#This Row],[Age]]&lt;=25,"18-25",credit[[#This Row],[Age]]&lt;=35,"26-35",credit[[#This Row],[Age]]&lt;=45,"36-45",credit[[#This Row],[Age]]&lt;=60,"46-60",TRUE,"60+")</f>
        <v>26-35</v>
      </c>
      <c r="C343" t="s">
        <v>14</v>
      </c>
      <c r="D343">
        <v>1</v>
      </c>
      <c r="E343" t="s">
        <v>21</v>
      </c>
      <c r="F343" t="s">
        <v>12</v>
      </c>
      <c r="G343" t="s">
        <v>12</v>
      </c>
      <c r="H343">
        <v>3599</v>
      </c>
      <c r="I343">
        <v>21</v>
      </c>
      <c r="J343" t="s">
        <v>18</v>
      </c>
      <c r="K343" t="str">
        <f>IF(AND(credit[[#This Row],[Credit amount]]&gt;9000,credit[[#This Row],[Saving accounts]]="little"),"High","Low")</f>
        <v>Low</v>
      </c>
    </row>
    <row r="344" spans="1:11" x14ac:dyDescent="0.25">
      <c r="A344">
        <v>25</v>
      </c>
      <c r="B344" s="13" t="str" cm="1">
        <f t="array" ref="B344">_xlfn.IFS(credit[[#This Row],[Age]]&lt;=25,"18-25",credit[[#This Row],[Age]]&lt;=35,"26-35",credit[[#This Row],[Age]]&lt;=45,"36-45",credit[[#This Row],[Age]]&lt;=60,"46-60",TRUE,"60+")</f>
        <v>18-25</v>
      </c>
      <c r="C344" t="s">
        <v>9</v>
      </c>
      <c r="D344">
        <v>2</v>
      </c>
      <c r="E344" t="s">
        <v>21</v>
      </c>
      <c r="F344" t="s">
        <v>20</v>
      </c>
      <c r="G344" t="s">
        <v>15</v>
      </c>
      <c r="H344">
        <v>3213</v>
      </c>
      <c r="I344">
        <v>18</v>
      </c>
      <c r="J344" t="s">
        <v>13</v>
      </c>
      <c r="K344" t="str">
        <f>IF(AND(credit[[#This Row],[Credit amount]]&gt;9000,credit[[#This Row],[Saving accounts]]="little"),"High","Low")</f>
        <v>Low</v>
      </c>
    </row>
    <row r="345" spans="1:11" x14ac:dyDescent="0.25">
      <c r="A345">
        <v>33</v>
      </c>
      <c r="B345" s="13" t="str" cm="1">
        <f t="array" ref="B345">_xlfn.IFS(credit[[#This Row],[Age]]&lt;=25,"18-25",credit[[#This Row],[Age]]&lt;=35,"26-35",credit[[#This Row],[Age]]&lt;=45,"36-45",credit[[#This Row],[Age]]&lt;=60,"46-60",TRUE,"60+")</f>
        <v>26-35</v>
      </c>
      <c r="C345" t="s">
        <v>9</v>
      </c>
      <c r="D345">
        <v>3</v>
      </c>
      <c r="E345" t="s">
        <v>10</v>
      </c>
      <c r="F345" t="s">
        <v>12</v>
      </c>
      <c r="G345" t="s">
        <v>15</v>
      </c>
      <c r="H345">
        <v>4439</v>
      </c>
      <c r="I345">
        <v>18</v>
      </c>
      <c r="J345" t="s">
        <v>23</v>
      </c>
      <c r="K345" t="str">
        <f>IF(AND(credit[[#This Row],[Credit amount]]&gt;9000,credit[[#This Row],[Saving accounts]]="little"),"High","Low")</f>
        <v>Low</v>
      </c>
    </row>
    <row r="346" spans="1:11" x14ac:dyDescent="0.25">
      <c r="A346">
        <v>37</v>
      </c>
      <c r="B346" s="13" t="str" cm="1">
        <f t="array" ref="B346">_xlfn.IFS(credit[[#This Row],[Age]]&lt;=25,"18-25",credit[[#This Row],[Age]]&lt;=35,"26-35",credit[[#This Row],[Age]]&lt;=45,"36-45",credit[[#This Row],[Age]]&lt;=60,"46-60",TRUE,"60+")</f>
        <v>36-45</v>
      </c>
      <c r="C346" t="s">
        <v>9</v>
      </c>
      <c r="D346">
        <v>1</v>
      </c>
      <c r="E346" t="s">
        <v>10</v>
      </c>
      <c r="F346" t="s">
        <v>12</v>
      </c>
      <c r="G346" t="s">
        <v>22</v>
      </c>
      <c r="H346">
        <v>3949</v>
      </c>
      <c r="I346">
        <v>10</v>
      </c>
      <c r="J346" t="s">
        <v>19</v>
      </c>
      <c r="K346" t="str">
        <f>IF(AND(credit[[#This Row],[Credit amount]]&gt;9000,credit[[#This Row],[Saving accounts]]="little"),"High","Low")</f>
        <v>Low</v>
      </c>
    </row>
    <row r="347" spans="1:11" x14ac:dyDescent="0.25">
      <c r="A347">
        <v>43</v>
      </c>
      <c r="B347" s="13" t="str" cm="1">
        <f t="array" ref="B347">_xlfn.IFS(credit[[#This Row],[Age]]&lt;=25,"18-25",credit[[#This Row],[Age]]&lt;=35,"26-35",credit[[#This Row],[Age]]&lt;=45,"36-45",credit[[#This Row],[Age]]&lt;=60,"46-60",TRUE,"60+")</f>
        <v>36-45</v>
      </c>
      <c r="C347" t="s">
        <v>14</v>
      </c>
      <c r="D347">
        <v>1</v>
      </c>
      <c r="E347" t="s">
        <v>10</v>
      </c>
      <c r="F347" t="s">
        <v>12</v>
      </c>
      <c r="G347" t="s">
        <v>11</v>
      </c>
      <c r="H347">
        <v>1459</v>
      </c>
      <c r="I347">
        <v>15</v>
      </c>
      <c r="J347" t="s">
        <v>13</v>
      </c>
      <c r="K347" t="str">
        <f>IF(AND(credit[[#This Row],[Credit amount]]&gt;9000,credit[[#This Row],[Saving accounts]]="little"),"High","Low")</f>
        <v>Low</v>
      </c>
    </row>
    <row r="348" spans="1:11" x14ac:dyDescent="0.25">
      <c r="A348">
        <v>23</v>
      </c>
      <c r="B348" s="13" t="str" cm="1">
        <f t="array" ref="B348">_xlfn.IFS(credit[[#This Row],[Age]]&lt;=25,"18-25",credit[[#This Row],[Age]]&lt;=35,"26-35",credit[[#This Row],[Age]]&lt;=45,"36-45",credit[[#This Row],[Age]]&lt;=60,"46-60",TRUE,"60+")</f>
        <v>18-25</v>
      </c>
      <c r="C348" t="s">
        <v>9</v>
      </c>
      <c r="D348">
        <v>2</v>
      </c>
      <c r="E348" t="s">
        <v>10</v>
      </c>
      <c r="F348" t="s">
        <v>12</v>
      </c>
      <c r="G348" t="s">
        <v>15</v>
      </c>
      <c r="H348">
        <v>882</v>
      </c>
      <c r="I348">
        <v>13</v>
      </c>
      <c r="J348" t="s">
        <v>13</v>
      </c>
      <c r="K348" t="str">
        <f>IF(AND(credit[[#This Row],[Credit amount]]&gt;9000,credit[[#This Row],[Saving accounts]]="little"),"High","Low")</f>
        <v>Low</v>
      </c>
    </row>
    <row r="349" spans="1:11" x14ac:dyDescent="0.25">
      <c r="A349">
        <v>23</v>
      </c>
      <c r="B349" s="13" t="str" cm="1">
        <f t="array" ref="B349">_xlfn.IFS(credit[[#This Row],[Age]]&lt;=25,"18-25",credit[[#This Row],[Age]]&lt;=35,"26-35",credit[[#This Row],[Age]]&lt;=45,"36-45",credit[[#This Row],[Age]]&lt;=60,"46-60",TRUE,"60+")</f>
        <v>18-25</v>
      </c>
      <c r="C349" t="s">
        <v>14</v>
      </c>
      <c r="D349">
        <v>0</v>
      </c>
      <c r="E349" t="s">
        <v>21</v>
      </c>
      <c r="F349" t="s">
        <v>20</v>
      </c>
      <c r="G349" t="s">
        <v>15</v>
      </c>
      <c r="H349">
        <v>3758</v>
      </c>
      <c r="I349">
        <v>24</v>
      </c>
      <c r="J349" t="s">
        <v>13</v>
      </c>
      <c r="K349" t="str">
        <f>IF(AND(credit[[#This Row],[Credit amount]]&gt;9000,credit[[#This Row],[Saving accounts]]="little"),"High","Low")</f>
        <v>Low</v>
      </c>
    </row>
    <row r="350" spans="1:11" x14ac:dyDescent="0.25">
      <c r="A350">
        <v>34</v>
      </c>
      <c r="B350" s="13" t="str" cm="1">
        <f t="array" ref="B350">_xlfn.IFS(credit[[#This Row],[Age]]&lt;=25,"18-25",credit[[#This Row],[Age]]&lt;=35,"26-35",credit[[#This Row],[Age]]&lt;=45,"36-45",credit[[#This Row],[Age]]&lt;=60,"46-60",TRUE,"60+")</f>
        <v>26-35</v>
      </c>
      <c r="C350" t="s">
        <v>9</v>
      </c>
      <c r="D350">
        <v>1</v>
      </c>
      <c r="E350" t="s">
        <v>10</v>
      </c>
      <c r="F350" t="s">
        <v>15</v>
      </c>
      <c r="G350" t="s">
        <v>11</v>
      </c>
      <c r="H350">
        <v>1743</v>
      </c>
      <c r="I350">
        <v>6</v>
      </c>
      <c r="J350" t="s">
        <v>23</v>
      </c>
      <c r="K350" t="str">
        <f>IF(AND(credit[[#This Row],[Credit amount]]&gt;9000,credit[[#This Row],[Saving accounts]]="little"),"High","Low")</f>
        <v>Low</v>
      </c>
    </row>
    <row r="351" spans="1:11" x14ac:dyDescent="0.25">
      <c r="A351">
        <v>32</v>
      </c>
      <c r="B351" s="13" t="str" cm="1">
        <f t="array" ref="B351">_xlfn.IFS(credit[[#This Row],[Age]]&lt;=25,"18-25",credit[[#This Row],[Age]]&lt;=35,"26-35",credit[[#This Row],[Age]]&lt;=45,"36-45",credit[[#This Row],[Age]]&lt;=60,"46-60",TRUE,"60+")</f>
        <v>26-35</v>
      </c>
      <c r="C351" t="s">
        <v>9</v>
      </c>
      <c r="D351">
        <v>2</v>
      </c>
      <c r="E351" t="s">
        <v>17</v>
      </c>
      <c r="F351" t="s">
        <v>22</v>
      </c>
      <c r="G351" t="s">
        <v>15</v>
      </c>
      <c r="H351">
        <v>1136</v>
      </c>
      <c r="I351">
        <v>9</v>
      </c>
      <c r="J351" t="s">
        <v>16</v>
      </c>
      <c r="K351" t="str">
        <f>IF(AND(credit[[#This Row],[Credit amount]]&gt;9000,credit[[#This Row],[Saving accounts]]="little"),"High","Low")</f>
        <v>Low</v>
      </c>
    </row>
    <row r="352" spans="1:11" x14ac:dyDescent="0.25">
      <c r="A352">
        <v>23</v>
      </c>
      <c r="B352" s="13" t="str" cm="1">
        <f t="array" ref="B352">_xlfn.IFS(credit[[#This Row],[Age]]&lt;=25,"18-25",credit[[#This Row],[Age]]&lt;=35,"26-35",credit[[#This Row],[Age]]&lt;=45,"36-45",credit[[#This Row],[Age]]&lt;=60,"46-60",TRUE,"60+")</f>
        <v>18-25</v>
      </c>
      <c r="C352" t="s">
        <v>14</v>
      </c>
      <c r="D352">
        <v>2</v>
      </c>
      <c r="E352" t="s">
        <v>21</v>
      </c>
      <c r="F352" t="s">
        <v>12</v>
      </c>
      <c r="G352" t="s">
        <v>11</v>
      </c>
      <c r="H352">
        <v>1236</v>
      </c>
      <c r="I352">
        <v>9</v>
      </c>
      <c r="J352" t="s">
        <v>24</v>
      </c>
      <c r="K352" t="str">
        <f>IF(AND(credit[[#This Row],[Credit amount]]&gt;9000,credit[[#This Row],[Saving accounts]]="little"),"High","Low")</f>
        <v>Low</v>
      </c>
    </row>
    <row r="353" spans="1:11" x14ac:dyDescent="0.25">
      <c r="A353">
        <v>29</v>
      </c>
      <c r="B353" s="13" t="str" cm="1">
        <f t="array" ref="B353">_xlfn.IFS(credit[[#This Row],[Age]]&lt;=25,"18-25",credit[[#This Row],[Age]]&lt;=35,"26-35",credit[[#This Row],[Age]]&lt;=45,"36-45",credit[[#This Row],[Age]]&lt;=60,"46-60",TRUE,"60+")</f>
        <v>26-35</v>
      </c>
      <c r="C353" t="s">
        <v>14</v>
      </c>
      <c r="D353">
        <v>2</v>
      </c>
      <c r="E353" t="s">
        <v>10</v>
      </c>
      <c r="F353" t="s">
        <v>12</v>
      </c>
      <c r="G353" t="s">
        <v>15</v>
      </c>
      <c r="H353">
        <v>959</v>
      </c>
      <c r="I353">
        <v>9</v>
      </c>
      <c r="J353" t="s">
        <v>18</v>
      </c>
      <c r="K353" t="str">
        <f>IF(AND(credit[[#This Row],[Credit amount]]&gt;9000,credit[[#This Row],[Saving accounts]]="little"),"High","Low")</f>
        <v>Low</v>
      </c>
    </row>
    <row r="354" spans="1:11" x14ac:dyDescent="0.25">
      <c r="A354">
        <v>38</v>
      </c>
      <c r="B354" s="13" t="str" cm="1">
        <f t="array" ref="B354">_xlfn.IFS(credit[[#This Row],[Age]]&lt;=25,"18-25",credit[[#This Row],[Age]]&lt;=35,"26-35",credit[[#This Row],[Age]]&lt;=45,"36-45",credit[[#This Row],[Age]]&lt;=60,"46-60",TRUE,"60+")</f>
        <v>36-45</v>
      </c>
      <c r="C354" t="s">
        <v>9</v>
      </c>
      <c r="D354">
        <v>3</v>
      </c>
      <c r="E354" t="s">
        <v>10</v>
      </c>
      <c r="F354" t="s">
        <v>11</v>
      </c>
      <c r="G354" t="s">
        <v>11</v>
      </c>
      <c r="H354">
        <v>3229</v>
      </c>
      <c r="I354">
        <v>18</v>
      </c>
      <c r="J354" t="s">
        <v>19</v>
      </c>
      <c r="K354" t="str">
        <f>IF(AND(credit[[#This Row],[Credit amount]]&gt;9000,credit[[#This Row],[Saving accounts]]="little"),"High","Low")</f>
        <v>Low</v>
      </c>
    </row>
    <row r="355" spans="1:11" x14ac:dyDescent="0.25">
      <c r="A355">
        <v>28</v>
      </c>
      <c r="B355" s="13" t="str" cm="1">
        <f t="array" ref="B355">_xlfn.IFS(credit[[#This Row],[Age]]&lt;=25,"18-25",credit[[#This Row],[Age]]&lt;=35,"26-35",credit[[#This Row],[Age]]&lt;=45,"36-45",credit[[#This Row],[Age]]&lt;=60,"46-60",TRUE,"60+")</f>
        <v>26-35</v>
      </c>
      <c r="C355" t="s">
        <v>9</v>
      </c>
      <c r="D355">
        <v>2</v>
      </c>
      <c r="E355" t="s">
        <v>21</v>
      </c>
      <c r="F355" t="s">
        <v>12</v>
      </c>
      <c r="G355" t="s">
        <v>12</v>
      </c>
      <c r="H355">
        <v>6199</v>
      </c>
      <c r="I355">
        <v>12</v>
      </c>
      <c r="J355" t="s">
        <v>13</v>
      </c>
      <c r="K355" t="str">
        <f>IF(AND(credit[[#This Row],[Credit amount]]&gt;9000,credit[[#This Row],[Saving accounts]]="little"),"High","Low")</f>
        <v>Low</v>
      </c>
    </row>
    <row r="356" spans="1:11" x14ac:dyDescent="0.25">
      <c r="A356">
        <v>46</v>
      </c>
      <c r="B356" s="13" t="str" cm="1">
        <f t="array" ref="B356">_xlfn.IFS(credit[[#This Row],[Age]]&lt;=25,"18-25",credit[[#This Row],[Age]]&lt;=35,"26-35",credit[[#This Row],[Age]]&lt;=45,"36-45",credit[[#This Row],[Age]]&lt;=60,"46-60",TRUE,"60+")</f>
        <v>46-60</v>
      </c>
      <c r="C356" t="s">
        <v>9</v>
      </c>
      <c r="D356">
        <v>2</v>
      </c>
      <c r="E356" t="s">
        <v>17</v>
      </c>
      <c r="F356" t="s">
        <v>20</v>
      </c>
      <c r="G356" t="s">
        <v>11</v>
      </c>
      <c r="H356">
        <v>727</v>
      </c>
      <c r="I356">
        <v>10</v>
      </c>
      <c r="J356" t="s">
        <v>16</v>
      </c>
      <c r="K356" t="str">
        <f>IF(AND(credit[[#This Row],[Credit amount]]&gt;9000,credit[[#This Row],[Saving accounts]]="little"),"High","Low")</f>
        <v>Low</v>
      </c>
    </row>
    <row r="357" spans="1:11" x14ac:dyDescent="0.25">
      <c r="A357">
        <v>23</v>
      </c>
      <c r="B357" s="13" t="str" cm="1">
        <f t="array" ref="B357">_xlfn.IFS(credit[[#This Row],[Age]]&lt;=25,"18-25",credit[[#This Row],[Age]]&lt;=35,"26-35",credit[[#This Row],[Age]]&lt;=45,"36-45",credit[[#This Row],[Age]]&lt;=60,"46-60",TRUE,"60+")</f>
        <v>18-25</v>
      </c>
      <c r="C357" t="s">
        <v>9</v>
      </c>
      <c r="D357">
        <v>1</v>
      </c>
      <c r="E357" t="s">
        <v>10</v>
      </c>
      <c r="F357" t="s">
        <v>12</v>
      </c>
      <c r="G357" t="s">
        <v>15</v>
      </c>
      <c r="H357">
        <v>1246</v>
      </c>
      <c r="I357">
        <v>24</v>
      </c>
      <c r="J357" t="s">
        <v>19</v>
      </c>
      <c r="K357" t="str">
        <f>IF(AND(credit[[#This Row],[Credit amount]]&gt;9000,credit[[#This Row],[Saving accounts]]="little"),"High","Low")</f>
        <v>Low</v>
      </c>
    </row>
    <row r="358" spans="1:11" x14ac:dyDescent="0.25">
      <c r="A358">
        <v>49</v>
      </c>
      <c r="B358" s="13" t="str" cm="1">
        <f t="array" ref="B358">_xlfn.IFS(credit[[#This Row],[Age]]&lt;=25,"18-25",credit[[#This Row],[Age]]&lt;=35,"26-35",credit[[#This Row],[Age]]&lt;=45,"36-45",credit[[#This Row],[Age]]&lt;=60,"46-60",TRUE,"60+")</f>
        <v>46-60</v>
      </c>
      <c r="C358" t="s">
        <v>9</v>
      </c>
      <c r="D358">
        <v>2</v>
      </c>
      <c r="E358" t="s">
        <v>10</v>
      </c>
      <c r="F358" t="s">
        <v>11</v>
      </c>
      <c r="G358" t="s">
        <v>11</v>
      </c>
      <c r="H358">
        <v>2331</v>
      </c>
      <c r="I358">
        <v>12</v>
      </c>
      <c r="J358" t="s">
        <v>13</v>
      </c>
      <c r="K358" t="str">
        <f>IF(AND(credit[[#This Row],[Credit amount]]&gt;9000,credit[[#This Row],[Saving accounts]]="little"),"High","Low")</f>
        <v>Low</v>
      </c>
    </row>
    <row r="359" spans="1:11" x14ac:dyDescent="0.25">
      <c r="A359">
        <v>26</v>
      </c>
      <c r="B359" s="13" t="str" cm="1">
        <f t="array" ref="B359">_xlfn.IFS(credit[[#This Row],[Age]]&lt;=25,"18-25",credit[[#This Row],[Age]]&lt;=35,"26-35",credit[[#This Row],[Age]]&lt;=45,"36-45",credit[[#This Row],[Age]]&lt;=60,"46-60",TRUE,"60+")</f>
        <v>26-35</v>
      </c>
      <c r="C359" t="s">
        <v>9</v>
      </c>
      <c r="D359">
        <v>3</v>
      </c>
      <c r="E359" t="s">
        <v>10</v>
      </c>
      <c r="F359" t="s">
        <v>12</v>
      </c>
      <c r="G359" t="s">
        <v>11</v>
      </c>
      <c r="H359">
        <v>4463</v>
      </c>
      <c r="I359">
        <v>36</v>
      </c>
      <c r="J359" t="s">
        <v>13</v>
      </c>
      <c r="K359" t="str">
        <f>IF(AND(credit[[#This Row],[Credit amount]]&gt;9000,credit[[#This Row],[Saving accounts]]="little"),"High","Low")</f>
        <v>Low</v>
      </c>
    </row>
    <row r="360" spans="1:11" x14ac:dyDescent="0.25">
      <c r="A360">
        <v>28</v>
      </c>
      <c r="B360" s="13" t="str" cm="1">
        <f t="array" ref="B360">_xlfn.IFS(credit[[#This Row],[Age]]&lt;=25,"18-25",credit[[#This Row],[Age]]&lt;=35,"26-35",credit[[#This Row],[Age]]&lt;=45,"36-45",credit[[#This Row],[Age]]&lt;=60,"46-60",TRUE,"60+")</f>
        <v>26-35</v>
      </c>
      <c r="C360" t="s">
        <v>9</v>
      </c>
      <c r="D360">
        <v>2</v>
      </c>
      <c r="E360" t="s">
        <v>10</v>
      </c>
      <c r="F360" t="s">
        <v>12</v>
      </c>
      <c r="G360" t="s">
        <v>11</v>
      </c>
      <c r="H360">
        <v>776</v>
      </c>
      <c r="I360">
        <v>12</v>
      </c>
      <c r="J360" t="s">
        <v>13</v>
      </c>
      <c r="K360" t="str">
        <f>IF(AND(credit[[#This Row],[Credit amount]]&gt;9000,credit[[#This Row],[Saving accounts]]="little"),"High","Low")</f>
        <v>Low</v>
      </c>
    </row>
    <row r="361" spans="1:11" x14ac:dyDescent="0.25">
      <c r="A361">
        <v>23</v>
      </c>
      <c r="B361" s="13" t="str" cm="1">
        <f t="array" ref="B361">_xlfn.IFS(credit[[#This Row],[Age]]&lt;=25,"18-25",credit[[#This Row],[Age]]&lt;=35,"26-35",credit[[#This Row],[Age]]&lt;=45,"36-45",credit[[#This Row],[Age]]&lt;=60,"46-60",TRUE,"60+")</f>
        <v>18-25</v>
      </c>
      <c r="C361" t="s">
        <v>14</v>
      </c>
      <c r="D361">
        <v>2</v>
      </c>
      <c r="E361" t="s">
        <v>21</v>
      </c>
      <c r="F361" t="s">
        <v>12</v>
      </c>
      <c r="G361" t="s">
        <v>12</v>
      </c>
      <c r="H361">
        <v>2406</v>
      </c>
      <c r="I361">
        <v>30</v>
      </c>
      <c r="J361" t="s">
        <v>18</v>
      </c>
      <c r="K361" t="str">
        <f>IF(AND(credit[[#This Row],[Credit amount]]&gt;9000,credit[[#This Row],[Saving accounts]]="little"),"High","Low")</f>
        <v>Low</v>
      </c>
    </row>
    <row r="362" spans="1:11" x14ac:dyDescent="0.25">
      <c r="A362">
        <v>61</v>
      </c>
      <c r="B362" s="13" t="str" cm="1">
        <f t="array" ref="B362">_xlfn.IFS(credit[[#This Row],[Age]]&lt;=25,"18-25",credit[[#This Row],[Age]]&lt;=35,"26-35",credit[[#This Row],[Age]]&lt;=45,"36-45",credit[[#This Row],[Age]]&lt;=60,"46-60",TRUE,"60+")</f>
        <v>60+</v>
      </c>
      <c r="C362" t="s">
        <v>9</v>
      </c>
      <c r="D362">
        <v>2</v>
      </c>
      <c r="E362" t="s">
        <v>17</v>
      </c>
      <c r="F362" t="s">
        <v>11</v>
      </c>
      <c r="G362" t="s">
        <v>15</v>
      </c>
      <c r="H362">
        <v>1239</v>
      </c>
      <c r="I362">
        <v>18</v>
      </c>
      <c r="J362" t="s">
        <v>16</v>
      </c>
      <c r="K362" t="str">
        <f>IF(AND(credit[[#This Row],[Credit amount]]&gt;9000,credit[[#This Row],[Saving accounts]]="little"),"High","Low")</f>
        <v>Low</v>
      </c>
    </row>
    <row r="363" spans="1:11" x14ac:dyDescent="0.25">
      <c r="A363">
        <v>37</v>
      </c>
      <c r="B363" s="13" t="str" cm="1">
        <f t="array" ref="B363">_xlfn.IFS(credit[[#This Row],[Age]]&lt;=25,"18-25",credit[[#This Row],[Age]]&lt;=35,"26-35",credit[[#This Row],[Age]]&lt;=45,"36-45",credit[[#This Row],[Age]]&lt;=60,"46-60",TRUE,"60+")</f>
        <v>36-45</v>
      </c>
      <c r="C363" t="s">
        <v>9</v>
      </c>
      <c r="D363">
        <v>3</v>
      </c>
      <c r="E363" t="s">
        <v>10</v>
      </c>
      <c r="F363" t="s">
        <v>11</v>
      </c>
      <c r="G363" t="s">
        <v>22</v>
      </c>
      <c r="H363">
        <v>3399</v>
      </c>
      <c r="I363">
        <v>12</v>
      </c>
      <c r="J363" t="s">
        <v>13</v>
      </c>
      <c r="K363" t="str">
        <f>IF(AND(credit[[#This Row],[Credit amount]]&gt;9000,credit[[#This Row],[Saving accounts]]="little"),"High","Low")</f>
        <v>Low</v>
      </c>
    </row>
    <row r="364" spans="1:11" x14ac:dyDescent="0.25">
      <c r="A364">
        <v>36</v>
      </c>
      <c r="B364" s="13" t="str" cm="1">
        <f t="array" ref="B364">_xlfn.IFS(credit[[#This Row],[Age]]&lt;=25,"18-25",credit[[#This Row],[Age]]&lt;=35,"26-35",credit[[#This Row],[Age]]&lt;=45,"36-45",credit[[#This Row],[Age]]&lt;=60,"46-60",TRUE,"60+")</f>
        <v>36-45</v>
      </c>
      <c r="C364" t="s">
        <v>14</v>
      </c>
      <c r="D364">
        <v>2</v>
      </c>
      <c r="E364" t="s">
        <v>10</v>
      </c>
      <c r="F364" t="s">
        <v>12</v>
      </c>
      <c r="G364" t="s">
        <v>22</v>
      </c>
      <c r="H364">
        <v>2247</v>
      </c>
      <c r="I364">
        <v>12</v>
      </c>
      <c r="J364" t="s">
        <v>19</v>
      </c>
      <c r="K364" t="str">
        <f>IF(AND(credit[[#This Row],[Credit amount]]&gt;9000,credit[[#This Row],[Saving accounts]]="little"),"High","Low")</f>
        <v>Low</v>
      </c>
    </row>
    <row r="365" spans="1:11" x14ac:dyDescent="0.25">
      <c r="A365">
        <v>21</v>
      </c>
      <c r="B365" s="13" t="str" cm="1">
        <f t="array" ref="B365">_xlfn.IFS(credit[[#This Row],[Age]]&lt;=25,"18-25",credit[[#This Row],[Age]]&lt;=35,"26-35",credit[[#This Row],[Age]]&lt;=45,"36-45",credit[[#This Row],[Age]]&lt;=60,"46-60",TRUE,"60+")</f>
        <v>18-25</v>
      </c>
      <c r="C365" t="s">
        <v>9</v>
      </c>
      <c r="D365">
        <v>2</v>
      </c>
      <c r="E365" t="s">
        <v>21</v>
      </c>
      <c r="F365" t="s">
        <v>12</v>
      </c>
      <c r="G365" t="s">
        <v>11</v>
      </c>
      <c r="H365">
        <v>1766</v>
      </c>
      <c r="I365">
        <v>6</v>
      </c>
      <c r="J365" t="s">
        <v>18</v>
      </c>
      <c r="K365" t="str">
        <f>IF(AND(credit[[#This Row],[Credit amount]]&gt;9000,credit[[#This Row],[Saving accounts]]="little"),"High","Low")</f>
        <v>Low</v>
      </c>
    </row>
    <row r="366" spans="1:11" x14ac:dyDescent="0.25">
      <c r="A366">
        <v>25</v>
      </c>
      <c r="B366" s="13" t="str" cm="1">
        <f t="array" ref="B366">_xlfn.IFS(credit[[#This Row],[Age]]&lt;=25,"18-25",credit[[#This Row],[Age]]&lt;=35,"26-35",credit[[#This Row],[Age]]&lt;=45,"36-45",credit[[#This Row],[Age]]&lt;=60,"46-60",TRUE,"60+")</f>
        <v>18-25</v>
      </c>
      <c r="C366" t="s">
        <v>9</v>
      </c>
      <c r="D366">
        <v>0</v>
      </c>
      <c r="E366" t="s">
        <v>10</v>
      </c>
      <c r="F366" t="s">
        <v>12</v>
      </c>
      <c r="G366" t="s">
        <v>12</v>
      </c>
      <c r="H366">
        <v>2473</v>
      </c>
      <c r="I366">
        <v>18</v>
      </c>
      <c r="J366" t="s">
        <v>18</v>
      </c>
      <c r="K366" t="str">
        <f>IF(AND(credit[[#This Row],[Credit amount]]&gt;9000,credit[[#This Row],[Saving accounts]]="little"),"High","Low")</f>
        <v>Low</v>
      </c>
    </row>
    <row r="367" spans="1:11" x14ac:dyDescent="0.25">
      <c r="A367">
        <v>36</v>
      </c>
      <c r="B367" s="13" t="str" cm="1">
        <f t="array" ref="B367">_xlfn.IFS(credit[[#This Row],[Age]]&lt;=25,"18-25",credit[[#This Row],[Age]]&lt;=35,"26-35",credit[[#This Row],[Age]]&lt;=45,"36-45",credit[[#This Row],[Age]]&lt;=60,"46-60",TRUE,"60+")</f>
        <v>36-45</v>
      </c>
      <c r="C367" t="s">
        <v>9</v>
      </c>
      <c r="D367">
        <v>2</v>
      </c>
      <c r="E367" t="s">
        <v>10</v>
      </c>
      <c r="F367" t="s">
        <v>12</v>
      </c>
      <c r="G367" t="s">
        <v>11</v>
      </c>
      <c r="H367">
        <v>1542</v>
      </c>
      <c r="I367">
        <v>12</v>
      </c>
      <c r="J367" t="s">
        <v>23</v>
      </c>
      <c r="K367" t="str">
        <f>IF(AND(credit[[#This Row],[Credit amount]]&gt;9000,credit[[#This Row],[Saving accounts]]="little"),"High","Low")</f>
        <v>Low</v>
      </c>
    </row>
    <row r="368" spans="1:11" x14ac:dyDescent="0.25">
      <c r="A368">
        <v>27</v>
      </c>
      <c r="B368" s="13" t="str" cm="1">
        <f t="array" ref="B368">_xlfn.IFS(credit[[#This Row],[Age]]&lt;=25,"18-25",credit[[#This Row],[Age]]&lt;=35,"26-35",credit[[#This Row],[Age]]&lt;=45,"36-45",credit[[#This Row],[Age]]&lt;=60,"46-60",TRUE,"60+")</f>
        <v>26-35</v>
      </c>
      <c r="C368" t="s">
        <v>9</v>
      </c>
      <c r="D368">
        <v>2</v>
      </c>
      <c r="E368" t="s">
        <v>10</v>
      </c>
      <c r="F368" t="s">
        <v>12</v>
      </c>
      <c r="G368" t="s">
        <v>11</v>
      </c>
      <c r="H368">
        <v>3850</v>
      </c>
      <c r="I368">
        <v>18</v>
      </c>
      <c r="J368" t="s">
        <v>19</v>
      </c>
      <c r="K368" t="str">
        <f>IF(AND(credit[[#This Row],[Credit amount]]&gt;9000,credit[[#This Row],[Saving accounts]]="little"),"High","Low")</f>
        <v>Low</v>
      </c>
    </row>
    <row r="369" spans="1:11" x14ac:dyDescent="0.25">
      <c r="A369">
        <v>22</v>
      </c>
      <c r="B369" s="13" t="str" cm="1">
        <f t="array" ref="B369">_xlfn.IFS(credit[[#This Row],[Age]]&lt;=25,"18-25",credit[[#This Row],[Age]]&lt;=35,"26-35",credit[[#This Row],[Age]]&lt;=45,"36-45",credit[[#This Row],[Age]]&lt;=60,"46-60",TRUE,"60+")</f>
        <v>18-25</v>
      </c>
      <c r="C369" t="s">
        <v>14</v>
      </c>
      <c r="D369">
        <v>2</v>
      </c>
      <c r="E369" t="s">
        <v>21</v>
      </c>
      <c r="F369" t="s">
        <v>12</v>
      </c>
      <c r="G369" t="s">
        <v>12</v>
      </c>
      <c r="H369">
        <v>3650</v>
      </c>
      <c r="I369">
        <v>18</v>
      </c>
      <c r="J369" t="s">
        <v>18</v>
      </c>
      <c r="K369" t="str">
        <f>IF(AND(credit[[#This Row],[Credit amount]]&gt;9000,credit[[#This Row],[Saving accounts]]="little"),"High","Low")</f>
        <v>Low</v>
      </c>
    </row>
    <row r="370" spans="1:11" x14ac:dyDescent="0.25">
      <c r="A370">
        <v>42</v>
      </c>
      <c r="B370" s="13" t="str" cm="1">
        <f t="array" ref="B370">_xlfn.IFS(credit[[#This Row],[Age]]&lt;=25,"18-25",credit[[#This Row],[Age]]&lt;=35,"26-35",credit[[#This Row],[Age]]&lt;=45,"36-45",credit[[#This Row],[Age]]&lt;=60,"46-60",TRUE,"60+")</f>
        <v>36-45</v>
      </c>
      <c r="C370" t="s">
        <v>9</v>
      </c>
      <c r="D370">
        <v>2</v>
      </c>
      <c r="E370" t="s">
        <v>10</v>
      </c>
      <c r="F370" t="s">
        <v>12</v>
      </c>
      <c r="G370" t="s">
        <v>12</v>
      </c>
      <c r="H370">
        <v>3446</v>
      </c>
      <c r="I370">
        <v>36</v>
      </c>
      <c r="J370" t="s">
        <v>18</v>
      </c>
      <c r="K370" t="str">
        <f>IF(AND(credit[[#This Row],[Credit amount]]&gt;9000,credit[[#This Row],[Saving accounts]]="little"),"High","Low")</f>
        <v>Low</v>
      </c>
    </row>
    <row r="371" spans="1:11" x14ac:dyDescent="0.25">
      <c r="A371">
        <v>40</v>
      </c>
      <c r="B371" s="13" t="str" cm="1">
        <f t="array" ref="B371">_xlfn.IFS(credit[[#This Row],[Age]]&lt;=25,"18-25",credit[[#This Row],[Age]]&lt;=35,"26-35",credit[[#This Row],[Age]]&lt;=45,"36-45",credit[[#This Row],[Age]]&lt;=60,"46-60",TRUE,"60+")</f>
        <v>36-45</v>
      </c>
      <c r="C371" t="s">
        <v>14</v>
      </c>
      <c r="D371">
        <v>2</v>
      </c>
      <c r="E371" t="s">
        <v>21</v>
      </c>
      <c r="F371" t="s">
        <v>12</v>
      </c>
      <c r="G371" t="s">
        <v>15</v>
      </c>
      <c r="H371">
        <v>3001</v>
      </c>
      <c r="I371">
        <v>18</v>
      </c>
      <c r="J371" t="s">
        <v>18</v>
      </c>
      <c r="K371" t="str">
        <f>IF(AND(credit[[#This Row],[Credit amount]]&gt;9000,credit[[#This Row],[Saving accounts]]="little"),"High","Low")</f>
        <v>Low</v>
      </c>
    </row>
    <row r="372" spans="1:11" x14ac:dyDescent="0.25">
      <c r="A372">
        <v>36</v>
      </c>
      <c r="B372" s="13" t="str" cm="1">
        <f t="array" ref="B372">_xlfn.IFS(credit[[#This Row],[Age]]&lt;=25,"18-25",credit[[#This Row],[Age]]&lt;=35,"26-35",credit[[#This Row],[Age]]&lt;=45,"36-45",credit[[#This Row],[Age]]&lt;=60,"46-60",TRUE,"60+")</f>
        <v>36-45</v>
      </c>
      <c r="C372" t="s">
        <v>9</v>
      </c>
      <c r="D372">
        <v>2</v>
      </c>
      <c r="E372" t="s">
        <v>10</v>
      </c>
      <c r="F372" t="s">
        <v>11</v>
      </c>
      <c r="G372" t="s">
        <v>11</v>
      </c>
      <c r="H372">
        <v>3079</v>
      </c>
      <c r="I372">
        <v>36</v>
      </c>
      <c r="J372" t="s">
        <v>19</v>
      </c>
      <c r="K372" t="str">
        <f>IF(AND(credit[[#This Row],[Credit amount]]&gt;9000,credit[[#This Row],[Saving accounts]]="little"),"High","Low")</f>
        <v>Low</v>
      </c>
    </row>
    <row r="373" spans="1:11" x14ac:dyDescent="0.25">
      <c r="A373">
        <v>33</v>
      </c>
      <c r="B373" s="13" t="str" cm="1">
        <f t="array" ref="B373">_xlfn.IFS(credit[[#This Row],[Age]]&lt;=25,"18-25",credit[[#This Row],[Age]]&lt;=35,"26-35",credit[[#This Row],[Age]]&lt;=45,"36-45",credit[[#This Row],[Age]]&lt;=60,"46-60",TRUE,"60+")</f>
        <v>26-35</v>
      </c>
      <c r="C373" t="s">
        <v>9</v>
      </c>
      <c r="D373">
        <v>2</v>
      </c>
      <c r="E373" t="s">
        <v>10</v>
      </c>
      <c r="F373" t="s">
        <v>12</v>
      </c>
      <c r="G373" t="s">
        <v>11</v>
      </c>
      <c r="H373">
        <v>6070</v>
      </c>
      <c r="I373">
        <v>18</v>
      </c>
      <c r="J373" t="s">
        <v>13</v>
      </c>
      <c r="K373" t="str">
        <f>IF(AND(credit[[#This Row],[Credit amount]]&gt;9000,credit[[#This Row],[Saving accounts]]="little"),"High","Low")</f>
        <v>Low</v>
      </c>
    </row>
    <row r="374" spans="1:11" x14ac:dyDescent="0.25">
      <c r="A374">
        <v>23</v>
      </c>
      <c r="B374" s="13" t="str" cm="1">
        <f t="array" ref="B374">_xlfn.IFS(credit[[#This Row],[Age]]&lt;=25,"18-25",credit[[#This Row],[Age]]&lt;=35,"26-35",credit[[#This Row],[Age]]&lt;=45,"36-45",credit[[#This Row],[Age]]&lt;=60,"46-60",TRUE,"60+")</f>
        <v>18-25</v>
      </c>
      <c r="C374" t="s">
        <v>14</v>
      </c>
      <c r="D374">
        <v>2</v>
      </c>
      <c r="E374" t="s">
        <v>21</v>
      </c>
      <c r="F374" t="s">
        <v>12</v>
      </c>
      <c r="G374" t="s">
        <v>11</v>
      </c>
      <c r="H374">
        <v>2146</v>
      </c>
      <c r="I374">
        <v>10</v>
      </c>
      <c r="J374" t="s">
        <v>18</v>
      </c>
      <c r="K374" t="str">
        <f>IF(AND(credit[[#This Row],[Credit amount]]&gt;9000,credit[[#This Row],[Saving accounts]]="little"),"High","Low")</f>
        <v>Low</v>
      </c>
    </row>
    <row r="375" spans="1:11" x14ac:dyDescent="0.25">
      <c r="A375">
        <v>63</v>
      </c>
      <c r="B375" s="13" t="str" cm="1">
        <f t="array" ref="B375">_xlfn.IFS(credit[[#This Row],[Age]]&lt;=25,"18-25",credit[[#This Row],[Age]]&lt;=35,"26-35",credit[[#This Row],[Age]]&lt;=45,"36-45",credit[[#This Row],[Age]]&lt;=60,"46-60",TRUE,"60+")</f>
        <v>60+</v>
      </c>
      <c r="C375" t="s">
        <v>9</v>
      </c>
      <c r="D375">
        <v>3</v>
      </c>
      <c r="E375" t="s">
        <v>17</v>
      </c>
      <c r="F375" t="s">
        <v>11</v>
      </c>
      <c r="G375" t="s">
        <v>11</v>
      </c>
      <c r="H375">
        <v>13756</v>
      </c>
      <c r="I375">
        <v>60</v>
      </c>
      <c r="J375" t="s">
        <v>19</v>
      </c>
      <c r="K375" t="str">
        <f>IF(AND(credit[[#This Row],[Credit amount]]&gt;9000,credit[[#This Row],[Saving accounts]]="little"),"High","Low")</f>
        <v>Low</v>
      </c>
    </row>
    <row r="376" spans="1:11" x14ac:dyDescent="0.25">
      <c r="A376">
        <v>60</v>
      </c>
      <c r="B376" s="13" t="str" cm="1">
        <f t="array" ref="B376">_xlfn.IFS(credit[[#This Row],[Age]]&lt;=25,"18-25",credit[[#This Row],[Age]]&lt;=35,"26-35",credit[[#This Row],[Age]]&lt;=45,"36-45",credit[[#This Row],[Age]]&lt;=60,"46-60",TRUE,"60+")</f>
        <v>46-60</v>
      </c>
      <c r="C376" t="s">
        <v>14</v>
      </c>
      <c r="D376">
        <v>3</v>
      </c>
      <c r="E376" t="s">
        <v>17</v>
      </c>
      <c r="F376" t="s">
        <v>15</v>
      </c>
      <c r="G376" t="s">
        <v>15</v>
      </c>
      <c r="H376">
        <v>14782</v>
      </c>
      <c r="I376">
        <v>60</v>
      </c>
      <c r="J376" t="s">
        <v>26</v>
      </c>
      <c r="K376" t="str">
        <f>IF(AND(credit[[#This Row],[Credit amount]]&gt;9000,credit[[#This Row],[Saving accounts]]="little"),"High","Low")</f>
        <v>Low</v>
      </c>
    </row>
    <row r="377" spans="1:11" x14ac:dyDescent="0.25">
      <c r="A377">
        <v>37</v>
      </c>
      <c r="B377" s="13" t="str" cm="1">
        <f t="array" ref="B377">_xlfn.IFS(credit[[#This Row],[Age]]&lt;=25,"18-25",credit[[#This Row],[Age]]&lt;=35,"26-35",credit[[#This Row],[Age]]&lt;=45,"36-45",credit[[#This Row],[Age]]&lt;=60,"46-60",TRUE,"60+")</f>
        <v>36-45</v>
      </c>
      <c r="C377" t="s">
        <v>14</v>
      </c>
      <c r="D377">
        <v>2</v>
      </c>
      <c r="E377" t="s">
        <v>21</v>
      </c>
      <c r="F377" t="s">
        <v>12</v>
      </c>
      <c r="G377" t="s">
        <v>12</v>
      </c>
      <c r="H377">
        <v>7685</v>
      </c>
      <c r="I377">
        <v>48</v>
      </c>
      <c r="J377" t="s">
        <v>23</v>
      </c>
      <c r="K377" t="str">
        <f>IF(AND(credit[[#This Row],[Credit amount]]&gt;9000,credit[[#This Row],[Saving accounts]]="little"),"High","Low")</f>
        <v>Low</v>
      </c>
    </row>
    <row r="378" spans="1:11" x14ac:dyDescent="0.25">
      <c r="A378">
        <v>34</v>
      </c>
      <c r="B378" s="13" t="str" cm="1">
        <f t="array" ref="B378">_xlfn.IFS(credit[[#This Row],[Age]]&lt;=25,"18-25",credit[[#This Row],[Age]]&lt;=35,"26-35",credit[[#This Row],[Age]]&lt;=45,"36-45",credit[[#This Row],[Age]]&lt;=60,"46-60",TRUE,"60+")</f>
        <v>26-35</v>
      </c>
      <c r="C378" t="s">
        <v>9</v>
      </c>
      <c r="D378">
        <v>2</v>
      </c>
      <c r="E378" t="s">
        <v>10</v>
      </c>
      <c r="F378" t="s">
        <v>12</v>
      </c>
      <c r="G378" t="s">
        <v>11</v>
      </c>
      <c r="H378">
        <v>2320</v>
      </c>
      <c r="I378">
        <v>18</v>
      </c>
      <c r="J378" t="s">
        <v>13</v>
      </c>
      <c r="K378" t="str">
        <f>IF(AND(credit[[#This Row],[Credit amount]]&gt;9000,credit[[#This Row],[Saving accounts]]="little"),"High","Low")</f>
        <v>Low</v>
      </c>
    </row>
    <row r="379" spans="1:11" x14ac:dyDescent="0.25">
      <c r="A379">
        <v>36</v>
      </c>
      <c r="B379" s="13" t="str" cm="1">
        <f t="array" ref="B379">_xlfn.IFS(credit[[#This Row],[Age]]&lt;=25,"18-25",credit[[#This Row],[Age]]&lt;=35,"26-35",credit[[#This Row],[Age]]&lt;=45,"36-45",credit[[#This Row],[Age]]&lt;=60,"46-60",TRUE,"60+")</f>
        <v>36-45</v>
      </c>
      <c r="C379" t="s">
        <v>9</v>
      </c>
      <c r="D379">
        <v>2</v>
      </c>
      <c r="E379" t="s">
        <v>17</v>
      </c>
      <c r="F379" t="s">
        <v>11</v>
      </c>
      <c r="G379" t="s">
        <v>11</v>
      </c>
      <c r="H379">
        <v>846</v>
      </c>
      <c r="I379">
        <v>7</v>
      </c>
      <c r="J379" t="s">
        <v>13</v>
      </c>
      <c r="K379" t="str">
        <f>IF(AND(credit[[#This Row],[Credit amount]]&gt;9000,credit[[#This Row],[Saving accounts]]="little"),"High","Low")</f>
        <v>Low</v>
      </c>
    </row>
    <row r="380" spans="1:11" x14ac:dyDescent="0.25">
      <c r="A380">
        <v>57</v>
      </c>
      <c r="B380" s="13" t="str" cm="1">
        <f t="array" ref="B380">_xlfn.IFS(credit[[#This Row],[Age]]&lt;=25,"18-25",credit[[#This Row],[Age]]&lt;=35,"26-35",credit[[#This Row],[Age]]&lt;=45,"36-45",credit[[#This Row],[Age]]&lt;=60,"46-60",TRUE,"60+")</f>
        <v>46-60</v>
      </c>
      <c r="C380" t="s">
        <v>9</v>
      </c>
      <c r="D380">
        <v>3</v>
      </c>
      <c r="E380" t="s">
        <v>17</v>
      </c>
      <c r="F380" t="s">
        <v>12</v>
      </c>
      <c r="G380" t="s">
        <v>15</v>
      </c>
      <c r="H380">
        <v>14318</v>
      </c>
      <c r="I380">
        <v>36</v>
      </c>
      <c r="J380" t="s">
        <v>19</v>
      </c>
      <c r="K380" t="str">
        <f>IF(AND(credit[[#This Row],[Credit amount]]&gt;9000,credit[[#This Row],[Saving accounts]]="little"),"High","Low")</f>
        <v>High</v>
      </c>
    </row>
    <row r="381" spans="1:11" x14ac:dyDescent="0.25">
      <c r="A381">
        <v>52</v>
      </c>
      <c r="B381" s="13" t="str" cm="1">
        <f t="array" ref="B381">_xlfn.IFS(credit[[#This Row],[Age]]&lt;=25,"18-25",credit[[#This Row],[Age]]&lt;=35,"26-35",credit[[#This Row],[Age]]&lt;=45,"36-45",credit[[#This Row],[Age]]&lt;=60,"46-60",TRUE,"60+")</f>
        <v>46-60</v>
      </c>
      <c r="C381" t="s">
        <v>14</v>
      </c>
      <c r="D381">
        <v>1</v>
      </c>
      <c r="E381" t="s">
        <v>10</v>
      </c>
      <c r="F381" t="s">
        <v>15</v>
      </c>
      <c r="G381" t="s">
        <v>11</v>
      </c>
      <c r="H381">
        <v>362</v>
      </c>
      <c r="I381">
        <v>6</v>
      </c>
      <c r="J381" t="s">
        <v>19</v>
      </c>
      <c r="K381" t="str">
        <f>IF(AND(credit[[#This Row],[Credit amount]]&gt;9000,credit[[#This Row],[Saving accounts]]="little"),"High","Low")</f>
        <v>Low</v>
      </c>
    </row>
    <row r="382" spans="1:11" x14ac:dyDescent="0.25">
      <c r="A382">
        <v>39</v>
      </c>
      <c r="B382" s="13" t="str" cm="1">
        <f t="array" ref="B382">_xlfn.IFS(credit[[#This Row],[Age]]&lt;=25,"18-25",credit[[#This Row],[Age]]&lt;=35,"26-35",credit[[#This Row],[Age]]&lt;=45,"36-45",credit[[#This Row],[Age]]&lt;=60,"46-60",TRUE,"60+")</f>
        <v>36-45</v>
      </c>
      <c r="C382" t="s">
        <v>9</v>
      </c>
      <c r="D382">
        <v>2</v>
      </c>
      <c r="E382" t="s">
        <v>10</v>
      </c>
      <c r="F382" t="s">
        <v>11</v>
      </c>
      <c r="G382" t="s">
        <v>12</v>
      </c>
      <c r="H382">
        <v>2212</v>
      </c>
      <c r="I382">
        <v>20</v>
      </c>
      <c r="J382" t="s">
        <v>18</v>
      </c>
      <c r="K382" t="str">
        <f>IF(AND(credit[[#This Row],[Credit amount]]&gt;9000,credit[[#This Row],[Saving accounts]]="little"),"High","Low")</f>
        <v>Low</v>
      </c>
    </row>
    <row r="383" spans="1:11" x14ac:dyDescent="0.25">
      <c r="A383">
        <v>38</v>
      </c>
      <c r="B383" s="13" t="str" cm="1">
        <f t="array" ref="B383">_xlfn.IFS(credit[[#This Row],[Age]]&lt;=25,"18-25",credit[[#This Row],[Age]]&lt;=35,"26-35",credit[[#This Row],[Age]]&lt;=45,"36-45",credit[[#This Row],[Age]]&lt;=60,"46-60",TRUE,"60+")</f>
        <v>36-45</v>
      </c>
      <c r="C383" t="s">
        <v>14</v>
      </c>
      <c r="D383">
        <v>3</v>
      </c>
      <c r="E383" t="s">
        <v>17</v>
      </c>
      <c r="F383" t="s">
        <v>12</v>
      </c>
      <c r="G383" t="s">
        <v>15</v>
      </c>
      <c r="H383">
        <v>12976</v>
      </c>
      <c r="I383">
        <v>18</v>
      </c>
      <c r="J383" t="s">
        <v>19</v>
      </c>
      <c r="K383" t="str">
        <f>IF(AND(credit[[#This Row],[Credit amount]]&gt;9000,credit[[#This Row],[Saving accounts]]="little"),"High","Low")</f>
        <v>High</v>
      </c>
    </row>
    <row r="384" spans="1:11" x14ac:dyDescent="0.25">
      <c r="A384">
        <v>25</v>
      </c>
      <c r="B384" s="13" t="str" cm="1">
        <f t="array" ref="B384">_xlfn.IFS(credit[[#This Row],[Age]]&lt;=25,"18-25",credit[[#This Row],[Age]]&lt;=35,"26-35",credit[[#This Row],[Age]]&lt;=45,"36-45",credit[[#This Row],[Age]]&lt;=60,"46-60",TRUE,"60+")</f>
        <v>18-25</v>
      </c>
      <c r="C384" t="s">
        <v>14</v>
      </c>
      <c r="D384">
        <v>2</v>
      </c>
      <c r="E384" t="s">
        <v>21</v>
      </c>
      <c r="F384" t="s">
        <v>11</v>
      </c>
      <c r="G384" t="s">
        <v>11</v>
      </c>
      <c r="H384">
        <v>1283</v>
      </c>
      <c r="I384">
        <v>22</v>
      </c>
      <c r="J384" t="s">
        <v>19</v>
      </c>
      <c r="K384" t="str">
        <f>IF(AND(credit[[#This Row],[Credit amount]]&gt;9000,credit[[#This Row],[Saving accounts]]="little"),"High","Low")</f>
        <v>Low</v>
      </c>
    </row>
    <row r="385" spans="1:11" x14ac:dyDescent="0.25">
      <c r="A385">
        <v>26</v>
      </c>
      <c r="B385" s="13" t="str" cm="1">
        <f t="array" ref="B385">_xlfn.IFS(credit[[#This Row],[Age]]&lt;=25,"18-25",credit[[#This Row],[Age]]&lt;=35,"26-35",credit[[#This Row],[Age]]&lt;=45,"36-45",credit[[#This Row],[Age]]&lt;=60,"46-60",TRUE,"60+")</f>
        <v>26-35</v>
      </c>
      <c r="C385" t="s">
        <v>9</v>
      </c>
      <c r="D385">
        <v>2</v>
      </c>
      <c r="E385" t="s">
        <v>10</v>
      </c>
      <c r="F385" t="s">
        <v>12</v>
      </c>
      <c r="G385" t="s">
        <v>22</v>
      </c>
      <c r="H385">
        <v>1330</v>
      </c>
      <c r="I385">
        <v>12</v>
      </c>
      <c r="J385" t="s">
        <v>19</v>
      </c>
      <c r="K385" t="str">
        <f>IF(AND(credit[[#This Row],[Credit amount]]&gt;9000,credit[[#This Row],[Saving accounts]]="little"),"High","Low")</f>
        <v>Low</v>
      </c>
    </row>
    <row r="386" spans="1:11" x14ac:dyDescent="0.25">
      <c r="A386">
        <v>26</v>
      </c>
      <c r="B386" s="13" t="str" cm="1">
        <f t="array" ref="B386">_xlfn.IFS(credit[[#This Row],[Age]]&lt;=25,"18-25",credit[[#This Row],[Age]]&lt;=35,"26-35",credit[[#This Row],[Age]]&lt;=45,"36-45",credit[[#This Row],[Age]]&lt;=60,"46-60",TRUE,"60+")</f>
        <v>26-35</v>
      </c>
      <c r="C386" t="s">
        <v>9</v>
      </c>
      <c r="D386">
        <v>1</v>
      </c>
      <c r="E386" t="s">
        <v>10</v>
      </c>
      <c r="F386" t="s">
        <v>15</v>
      </c>
      <c r="G386" t="s">
        <v>11</v>
      </c>
      <c r="H386">
        <v>4272</v>
      </c>
      <c r="I386">
        <v>30</v>
      </c>
      <c r="J386" t="s">
        <v>23</v>
      </c>
      <c r="K386" t="str">
        <f>IF(AND(credit[[#This Row],[Credit amount]]&gt;9000,credit[[#This Row],[Saving accounts]]="little"),"High","Low")</f>
        <v>Low</v>
      </c>
    </row>
    <row r="387" spans="1:11" x14ac:dyDescent="0.25">
      <c r="A387">
        <v>25</v>
      </c>
      <c r="B387" s="13" t="str" cm="1">
        <f t="array" ref="B387">_xlfn.IFS(credit[[#This Row],[Age]]&lt;=25,"18-25",credit[[#This Row],[Age]]&lt;=35,"26-35",credit[[#This Row],[Age]]&lt;=45,"36-45",credit[[#This Row],[Age]]&lt;=60,"46-60",TRUE,"60+")</f>
        <v>18-25</v>
      </c>
      <c r="C387" t="s">
        <v>14</v>
      </c>
      <c r="D387">
        <v>2</v>
      </c>
      <c r="E387" t="s">
        <v>10</v>
      </c>
      <c r="F387" t="s">
        <v>12</v>
      </c>
      <c r="G387" t="s">
        <v>11</v>
      </c>
      <c r="H387">
        <v>2238</v>
      </c>
      <c r="I387">
        <v>18</v>
      </c>
      <c r="J387" t="s">
        <v>13</v>
      </c>
      <c r="K387" t="str">
        <f>IF(AND(credit[[#This Row],[Credit amount]]&gt;9000,credit[[#This Row],[Saving accounts]]="little"),"High","Low")</f>
        <v>Low</v>
      </c>
    </row>
    <row r="388" spans="1:11" x14ac:dyDescent="0.25">
      <c r="A388">
        <v>21</v>
      </c>
      <c r="B388" s="13" t="str" cm="1">
        <f t="array" ref="B388">_xlfn.IFS(credit[[#This Row],[Age]]&lt;=25,"18-25",credit[[#This Row],[Age]]&lt;=35,"26-35",credit[[#This Row],[Age]]&lt;=45,"36-45",credit[[#This Row],[Age]]&lt;=60,"46-60",TRUE,"60+")</f>
        <v>18-25</v>
      </c>
      <c r="C388" t="s">
        <v>14</v>
      </c>
      <c r="D388">
        <v>2</v>
      </c>
      <c r="E388" t="s">
        <v>21</v>
      </c>
      <c r="F388" t="s">
        <v>11</v>
      </c>
      <c r="G388" t="s">
        <v>11</v>
      </c>
      <c r="H388">
        <v>1126</v>
      </c>
      <c r="I388">
        <v>18</v>
      </c>
      <c r="J388" t="s">
        <v>13</v>
      </c>
      <c r="K388" t="str">
        <f>IF(AND(credit[[#This Row],[Credit amount]]&gt;9000,credit[[#This Row],[Saving accounts]]="little"),"High","Low")</f>
        <v>Low</v>
      </c>
    </row>
    <row r="389" spans="1:11" x14ac:dyDescent="0.25">
      <c r="A389">
        <v>40</v>
      </c>
      <c r="B389" s="13" t="str" cm="1">
        <f t="array" ref="B389">_xlfn.IFS(credit[[#This Row],[Age]]&lt;=25,"18-25",credit[[#This Row],[Age]]&lt;=35,"26-35",credit[[#This Row],[Age]]&lt;=45,"36-45",credit[[#This Row],[Age]]&lt;=60,"46-60",TRUE,"60+")</f>
        <v>36-45</v>
      </c>
      <c r="C389" t="s">
        <v>9</v>
      </c>
      <c r="D389">
        <v>3</v>
      </c>
      <c r="E389" t="s">
        <v>10</v>
      </c>
      <c r="F389" t="s">
        <v>12</v>
      </c>
      <c r="G389" t="s">
        <v>15</v>
      </c>
      <c r="H389">
        <v>7374</v>
      </c>
      <c r="I389">
        <v>18</v>
      </c>
      <c r="J389" t="s">
        <v>18</v>
      </c>
      <c r="K389" t="str">
        <f>IF(AND(credit[[#This Row],[Credit amount]]&gt;9000,credit[[#This Row],[Saving accounts]]="little"),"High","Low")</f>
        <v>Low</v>
      </c>
    </row>
    <row r="390" spans="1:11" x14ac:dyDescent="0.25">
      <c r="A390">
        <v>27</v>
      </c>
      <c r="B390" s="13" t="str" cm="1">
        <f t="array" ref="B390">_xlfn.IFS(credit[[#This Row],[Age]]&lt;=25,"18-25",credit[[#This Row],[Age]]&lt;=35,"26-35",credit[[#This Row],[Age]]&lt;=45,"36-45",credit[[#This Row],[Age]]&lt;=60,"46-60",TRUE,"60+")</f>
        <v>26-35</v>
      </c>
      <c r="C390" t="s">
        <v>9</v>
      </c>
      <c r="D390">
        <v>2</v>
      </c>
      <c r="E390" t="s">
        <v>10</v>
      </c>
      <c r="F390" t="s">
        <v>20</v>
      </c>
      <c r="G390" t="s">
        <v>15</v>
      </c>
      <c r="H390">
        <v>2326</v>
      </c>
      <c r="I390">
        <v>15</v>
      </c>
      <c r="J390" t="s">
        <v>23</v>
      </c>
      <c r="K390" t="str">
        <f>IF(AND(credit[[#This Row],[Credit amount]]&gt;9000,credit[[#This Row],[Saving accounts]]="little"),"High","Low")</f>
        <v>Low</v>
      </c>
    </row>
    <row r="391" spans="1:11" x14ac:dyDescent="0.25">
      <c r="A391">
        <v>27</v>
      </c>
      <c r="B391" s="13" t="str" cm="1">
        <f t="array" ref="B391">_xlfn.IFS(credit[[#This Row],[Age]]&lt;=25,"18-25",credit[[#This Row],[Age]]&lt;=35,"26-35",credit[[#This Row],[Age]]&lt;=45,"36-45",credit[[#This Row],[Age]]&lt;=60,"46-60",TRUE,"60+")</f>
        <v>26-35</v>
      </c>
      <c r="C391" t="s">
        <v>14</v>
      </c>
      <c r="D391">
        <v>2</v>
      </c>
      <c r="E391" t="s">
        <v>10</v>
      </c>
      <c r="F391" t="s">
        <v>12</v>
      </c>
      <c r="G391" t="s">
        <v>11</v>
      </c>
      <c r="H391">
        <v>1449</v>
      </c>
      <c r="I391">
        <v>9</v>
      </c>
      <c r="J391" t="s">
        <v>23</v>
      </c>
      <c r="K391" t="str">
        <f>IF(AND(credit[[#This Row],[Credit amount]]&gt;9000,credit[[#This Row],[Saving accounts]]="little"),"High","Low")</f>
        <v>Low</v>
      </c>
    </row>
    <row r="392" spans="1:11" x14ac:dyDescent="0.25">
      <c r="A392">
        <v>30</v>
      </c>
      <c r="B392" s="13" t="str" cm="1">
        <f t="array" ref="B392">_xlfn.IFS(credit[[#This Row],[Age]]&lt;=25,"18-25",credit[[#This Row],[Age]]&lt;=35,"26-35",credit[[#This Row],[Age]]&lt;=45,"36-45",credit[[#This Row],[Age]]&lt;=60,"46-60",TRUE,"60+")</f>
        <v>26-35</v>
      </c>
      <c r="C392" t="s">
        <v>9</v>
      </c>
      <c r="D392">
        <v>3</v>
      </c>
      <c r="E392" t="s">
        <v>10</v>
      </c>
      <c r="F392" t="s">
        <v>12</v>
      </c>
      <c r="G392" t="s">
        <v>11</v>
      </c>
      <c r="H392">
        <v>1820</v>
      </c>
      <c r="I392">
        <v>18</v>
      </c>
      <c r="J392" t="s">
        <v>19</v>
      </c>
      <c r="K392" t="str">
        <f>IF(AND(credit[[#This Row],[Credit amount]]&gt;9000,credit[[#This Row],[Saving accounts]]="little"),"High","Low")</f>
        <v>Low</v>
      </c>
    </row>
    <row r="393" spans="1:11" x14ac:dyDescent="0.25">
      <c r="A393">
        <v>19</v>
      </c>
      <c r="B393" s="13" t="str" cm="1">
        <f t="array" ref="B393">_xlfn.IFS(credit[[#This Row],[Age]]&lt;=25,"18-25",credit[[#This Row],[Age]]&lt;=35,"26-35",credit[[#This Row],[Age]]&lt;=45,"36-45",credit[[#This Row],[Age]]&lt;=60,"46-60",TRUE,"60+")</f>
        <v>18-25</v>
      </c>
      <c r="C393" t="s">
        <v>14</v>
      </c>
      <c r="D393">
        <v>1</v>
      </c>
      <c r="E393" t="s">
        <v>21</v>
      </c>
      <c r="F393" t="s">
        <v>22</v>
      </c>
      <c r="G393" t="s">
        <v>15</v>
      </c>
      <c r="H393">
        <v>983</v>
      </c>
      <c r="I393">
        <v>12</v>
      </c>
      <c r="J393" t="s">
        <v>18</v>
      </c>
      <c r="K393" t="str">
        <f>IF(AND(credit[[#This Row],[Credit amount]]&gt;9000,credit[[#This Row],[Saving accounts]]="little"),"High","Low")</f>
        <v>Low</v>
      </c>
    </row>
    <row r="394" spans="1:11" x14ac:dyDescent="0.25">
      <c r="A394">
        <v>39</v>
      </c>
      <c r="B394" s="13" t="str" cm="1">
        <f t="array" ref="B394">_xlfn.IFS(credit[[#This Row],[Age]]&lt;=25,"18-25",credit[[#This Row],[Age]]&lt;=35,"26-35",credit[[#This Row],[Age]]&lt;=45,"36-45",credit[[#This Row],[Age]]&lt;=60,"46-60",TRUE,"60+")</f>
        <v>36-45</v>
      </c>
      <c r="C394" t="s">
        <v>9</v>
      </c>
      <c r="D394">
        <v>3</v>
      </c>
      <c r="E394" t="s">
        <v>17</v>
      </c>
      <c r="F394" t="s">
        <v>12</v>
      </c>
      <c r="G394" t="s">
        <v>12</v>
      </c>
      <c r="H394">
        <v>3249</v>
      </c>
      <c r="I394">
        <v>36</v>
      </c>
      <c r="J394" t="s">
        <v>19</v>
      </c>
      <c r="K394" t="str">
        <f>IF(AND(credit[[#This Row],[Credit amount]]&gt;9000,credit[[#This Row],[Saving accounts]]="little"),"High","Low")</f>
        <v>Low</v>
      </c>
    </row>
    <row r="395" spans="1:11" x14ac:dyDescent="0.25">
      <c r="A395">
        <v>31</v>
      </c>
      <c r="B395" s="13" t="str" cm="1">
        <f t="array" ref="B395">_xlfn.IFS(credit[[#This Row],[Age]]&lt;=25,"18-25",credit[[#This Row],[Age]]&lt;=35,"26-35",credit[[#This Row],[Age]]&lt;=45,"36-45",credit[[#This Row],[Age]]&lt;=60,"46-60",TRUE,"60+")</f>
        <v>26-35</v>
      </c>
      <c r="C395" t="s">
        <v>14</v>
      </c>
      <c r="D395">
        <v>2</v>
      </c>
      <c r="E395" t="s">
        <v>10</v>
      </c>
      <c r="F395" t="s">
        <v>12</v>
      </c>
      <c r="G395" t="s">
        <v>12</v>
      </c>
      <c r="H395">
        <v>1957</v>
      </c>
      <c r="I395">
        <v>6</v>
      </c>
      <c r="J395" t="s">
        <v>13</v>
      </c>
      <c r="K395" t="str">
        <f>IF(AND(credit[[#This Row],[Credit amount]]&gt;9000,credit[[#This Row],[Saving accounts]]="little"),"High","Low")</f>
        <v>Low</v>
      </c>
    </row>
    <row r="396" spans="1:11" x14ac:dyDescent="0.25">
      <c r="A396">
        <v>31</v>
      </c>
      <c r="B396" s="13" t="str" cm="1">
        <f t="array" ref="B396">_xlfn.IFS(credit[[#This Row],[Age]]&lt;=25,"18-25",credit[[#This Row],[Age]]&lt;=35,"26-35",credit[[#This Row],[Age]]&lt;=45,"36-45",credit[[#This Row],[Age]]&lt;=60,"46-60",TRUE,"60+")</f>
        <v>26-35</v>
      </c>
      <c r="C396" t="s">
        <v>9</v>
      </c>
      <c r="D396">
        <v>3</v>
      </c>
      <c r="E396" t="s">
        <v>10</v>
      </c>
      <c r="F396" t="s">
        <v>12</v>
      </c>
      <c r="G396" t="s">
        <v>11</v>
      </c>
      <c r="H396">
        <v>2406</v>
      </c>
      <c r="I396">
        <v>9</v>
      </c>
      <c r="J396" t="s">
        <v>18</v>
      </c>
      <c r="K396" t="str">
        <f>IF(AND(credit[[#This Row],[Credit amount]]&gt;9000,credit[[#This Row],[Saving accounts]]="little"),"High","Low")</f>
        <v>Low</v>
      </c>
    </row>
    <row r="397" spans="1:11" x14ac:dyDescent="0.25">
      <c r="A397">
        <v>32</v>
      </c>
      <c r="B397" s="13" t="str" cm="1">
        <f t="array" ref="B397">_xlfn.IFS(credit[[#This Row],[Age]]&lt;=25,"18-25",credit[[#This Row],[Age]]&lt;=35,"26-35",credit[[#This Row],[Age]]&lt;=45,"36-45",credit[[#This Row],[Age]]&lt;=60,"46-60",TRUE,"60+")</f>
        <v>26-35</v>
      </c>
      <c r="C397" t="s">
        <v>9</v>
      </c>
      <c r="D397">
        <v>2</v>
      </c>
      <c r="E397" t="s">
        <v>21</v>
      </c>
      <c r="F397" t="s">
        <v>15</v>
      </c>
      <c r="G397" t="s">
        <v>15</v>
      </c>
      <c r="H397">
        <v>11760</v>
      </c>
      <c r="I397">
        <v>39</v>
      </c>
      <c r="J397" t="s">
        <v>16</v>
      </c>
      <c r="K397" t="str">
        <f>IF(AND(credit[[#This Row],[Credit amount]]&gt;9000,credit[[#This Row],[Saving accounts]]="little"),"High","Low")</f>
        <v>Low</v>
      </c>
    </row>
    <row r="398" spans="1:11" x14ac:dyDescent="0.25">
      <c r="A398">
        <v>55</v>
      </c>
      <c r="B398" s="13" t="str" cm="1">
        <f t="array" ref="B398">_xlfn.IFS(credit[[#This Row],[Age]]&lt;=25,"18-25",credit[[#This Row],[Age]]&lt;=35,"26-35",credit[[#This Row],[Age]]&lt;=45,"36-45",credit[[#This Row],[Age]]&lt;=60,"46-60",TRUE,"60+")</f>
        <v>46-60</v>
      </c>
      <c r="C398" t="s">
        <v>14</v>
      </c>
      <c r="D398">
        <v>3</v>
      </c>
      <c r="E398" t="s">
        <v>17</v>
      </c>
      <c r="F398" t="s">
        <v>12</v>
      </c>
      <c r="G398" t="s">
        <v>12</v>
      </c>
      <c r="H398">
        <v>2578</v>
      </c>
      <c r="I398">
        <v>12</v>
      </c>
      <c r="J398" t="s">
        <v>18</v>
      </c>
      <c r="K398" t="str">
        <f>IF(AND(credit[[#This Row],[Credit amount]]&gt;9000,credit[[#This Row],[Saving accounts]]="little"),"High","Low")</f>
        <v>Low</v>
      </c>
    </row>
    <row r="399" spans="1:11" x14ac:dyDescent="0.25">
      <c r="A399">
        <v>46</v>
      </c>
      <c r="B399" s="13" t="str" cm="1">
        <f t="array" ref="B399">_xlfn.IFS(credit[[#This Row],[Age]]&lt;=25,"18-25",credit[[#This Row],[Age]]&lt;=35,"26-35",credit[[#This Row],[Age]]&lt;=45,"36-45",credit[[#This Row],[Age]]&lt;=60,"46-60",TRUE,"60+")</f>
        <v>46-60</v>
      </c>
      <c r="C399" t="s">
        <v>9</v>
      </c>
      <c r="D399">
        <v>2</v>
      </c>
      <c r="E399" t="s">
        <v>10</v>
      </c>
      <c r="F399" t="s">
        <v>12</v>
      </c>
      <c r="G399" t="s">
        <v>12</v>
      </c>
      <c r="H399">
        <v>2348</v>
      </c>
      <c r="I399">
        <v>36</v>
      </c>
      <c r="J399" t="s">
        <v>18</v>
      </c>
      <c r="K399" t="str">
        <f>IF(AND(credit[[#This Row],[Credit amount]]&gt;9000,credit[[#This Row],[Saving accounts]]="little"),"High","Low")</f>
        <v>Low</v>
      </c>
    </row>
    <row r="400" spans="1:11" x14ac:dyDescent="0.25">
      <c r="A400">
        <v>46</v>
      </c>
      <c r="B400" s="13" t="str" cm="1">
        <f t="array" ref="B400">_xlfn.IFS(credit[[#This Row],[Age]]&lt;=25,"18-25",credit[[#This Row],[Age]]&lt;=35,"26-35",credit[[#This Row],[Age]]&lt;=45,"36-45",credit[[#This Row],[Age]]&lt;=60,"46-60",TRUE,"60+")</f>
        <v>46-60</v>
      </c>
      <c r="C400" t="s">
        <v>9</v>
      </c>
      <c r="D400">
        <v>2</v>
      </c>
      <c r="E400" t="s">
        <v>21</v>
      </c>
      <c r="F400" t="s">
        <v>12</v>
      </c>
      <c r="G400" t="s">
        <v>15</v>
      </c>
      <c r="H400">
        <v>1223</v>
      </c>
      <c r="I400">
        <v>12</v>
      </c>
      <c r="J400" t="s">
        <v>19</v>
      </c>
      <c r="K400" t="str">
        <f>IF(AND(credit[[#This Row],[Credit amount]]&gt;9000,credit[[#This Row],[Saving accounts]]="little"),"High","Low")</f>
        <v>Low</v>
      </c>
    </row>
    <row r="401" spans="1:11" x14ac:dyDescent="0.25">
      <c r="A401">
        <v>43</v>
      </c>
      <c r="B401" s="13" t="str" cm="1">
        <f t="array" ref="B401">_xlfn.IFS(credit[[#This Row],[Age]]&lt;=25,"18-25",credit[[#This Row],[Age]]&lt;=35,"26-35",credit[[#This Row],[Age]]&lt;=45,"36-45",credit[[#This Row],[Age]]&lt;=60,"46-60",TRUE,"60+")</f>
        <v>36-45</v>
      </c>
      <c r="C401" t="s">
        <v>14</v>
      </c>
      <c r="D401">
        <v>1</v>
      </c>
      <c r="E401" t="s">
        <v>10</v>
      </c>
      <c r="F401" t="s">
        <v>22</v>
      </c>
      <c r="G401" t="s">
        <v>11</v>
      </c>
      <c r="H401">
        <v>1516</v>
      </c>
      <c r="I401">
        <v>24</v>
      </c>
      <c r="J401" t="s">
        <v>13</v>
      </c>
      <c r="K401" t="str">
        <f>IF(AND(credit[[#This Row],[Credit amount]]&gt;9000,credit[[#This Row],[Saving accounts]]="little"),"High","Low")</f>
        <v>Low</v>
      </c>
    </row>
    <row r="402" spans="1:11" x14ac:dyDescent="0.25">
      <c r="A402">
        <v>39</v>
      </c>
      <c r="B402" s="13" t="str" cm="1">
        <f t="array" ref="B402">_xlfn.IFS(credit[[#This Row],[Age]]&lt;=25,"18-25",credit[[#This Row],[Age]]&lt;=35,"26-35",credit[[#This Row],[Age]]&lt;=45,"36-45",credit[[#This Row],[Age]]&lt;=60,"46-60",TRUE,"60+")</f>
        <v>36-45</v>
      </c>
      <c r="C402" t="s">
        <v>9</v>
      </c>
      <c r="D402">
        <v>2</v>
      </c>
      <c r="E402" t="s">
        <v>10</v>
      </c>
      <c r="F402" t="s">
        <v>12</v>
      </c>
      <c r="G402" t="s">
        <v>11</v>
      </c>
      <c r="H402">
        <v>1473</v>
      </c>
      <c r="I402">
        <v>18</v>
      </c>
      <c r="J402" t="s">
        <v>13</v>
      </c>
      <c r="K402" t="str">
        <f>IF(AND(credit[[#This Row],[Credit amount]]&gt;9000,credit[[#This Row],[Saving accounts]]="little"),"High","Low")</f>
        <v>Low</v>
      </c>
    </row>
    <row r="403" spans="1:11" x14ac:dyDescent="0.25">
      <c r="A403">
        <v>28</v>
      </c>
      <c r="B403" s="13" t="str" cm="1">
        <f t="array" ref="B403">_xlfn.IFS(credit[[#This Row],[Age]]&lt;=25,"18-25",credit[[#This Row],[Age]]&lt;=35,"26-35",credit[[#This Row],[Age]]&lt;=45,"36-45",credit[[#This Row],[Age]]&lt;=60,"46-60",TRUE,"60+")</f>
        <v>26-35</v>
      </c>
      <c r="C403" t="s">
        <v>9</v>
      </c>
      <c r="D403">
        <v>2</v>
      </c>
      <c r="E403" t="s">
        <v>10</v>
      </c>
      <c r="F403" t="s">
        <v>11</v>
      </c>
      <c r="G403" t="s">
        <v>15</v>
      </c>
      <c r="H403">
        <v>1887</v>
      </c>
      <c r="I403">
        <v>18</v>
      </c>
      <c r="J403" t="s">
        <v>23</v>
      </c>
      <c r="K403" t="str">
        <f>IF(AND(credit[[#This Row],[Credit amount]]&gt;9000,credit[[#This Row],[Saving accounts]]="little"),"High","Low")</f>
        <v>Low</v>
      </c>
    </row>
    <row r="404" spans="1:11" x14ac:dyDescent="0.25">
      <c r="A404">
        <v>27</v>
      </c>
      <c r="B404" s="13" t="str" cm="1">
        <f t="array" ref="B404">_xlfn.IFS(credit[[#This Row],[Age]]&lt;=25,"18-25",credit[[#This Row],[Age]]&lt;=35,"26-35",credit[[#This Row],[Age]]&lt;=45,"36-45",credit[[#This Row],[Age]]&lt;=60,"46-60",TRUE,"60+")</f>
        <v>26-35</v>
      </c>
      <c r="C404" t="s">
        <v>9</v>
      </c>
      <c r="D404">
        <v>2</v>
      </c>
      <c r="E404" t="s">
        <v>10</v>
      </c>
      <c r="F404" t="s">
        <v>12</v>
      </c>
      <c r="G404" t="s">
        <v>11</v>
      </c>
      <c r="H404">
        <v>8648</v>
      </c>
      <c r="I404">
        <v>24</v>
      </c>
      <c r="J404" t="s">
        <v>23</v>
      </c>
      <c r="K404" t="str">
        <f>IF(AND(credit[[#This Row],[Credit amount]]&gt;9000,credit[[#This Row],[Saving accounts]]="little"),"High","Low")</f>
        <v>Low</v>
      </c>
    </row>
    <row r="405" spans="1:11" x14ac:dyDescent="0.25">
      <c r="A405">
        <v>27</v>
      </c>
      <c r="B405" s="13" t="str" cm="1">
        <f t="array" ref="B405">_xlfn.IFS(credit[[#This Row],[Age]]&lt;=25,"18-25",credit[[#This Row],[Age]]&lt;=35,"26-35",credit[[#This Row],[Age]]&lt;=45,"36-45",credit[[#This Row],[Age]]&lt;=60,"46-60",TRUE,"60+")</f>
        <v>26-35</v>
      </c>
      <c r="C405" t="s">
        <v>9</v>
      </c>
      <c r="D405">
        <v>1</v>
      </c>
      <c r="E405" t="s">
        <v>10</v>
      </c>
      <c r="F405" t="s">
        <v>12</v>
      </c>
      <c r="G405" t="s">
        <v>11</v>
      </c>
      <c r="H405">
        <v>802</v>
      </c>
      <c r="I405">
        <v>14</v>
      </c>
      <c r="J405" t="s">
        <v>19</v>
      </c>
      <c r="K405" t="str">
        <f>IF(AND(credit[[#This Row],[Credit amount]]&gt;9000,credit[[#This Row],[Saving accounts]]="little"),"High","Low")</f>
        <v>Low</v>
      </c>
    </row>
    <row r="406" spans="1:11" x14ac:dyDescent="0.25">
      <c r="A406">
        <v>43</v>
      </c>
      <c r="B406" s="13" t="str" cm="1">
        <f t="array" ref="B406">_xlfn.IFS(credit[[#This Row],[Age]]&lt;=25,"18-25",credit[[#This Row],[Age]]&lt;=35,"26-35",credit[[#This Row],[Age]]&lt;=45,"36-45",credit[[#This Row],[Age]]&lt;=60,"46-60",TRUE,"60+")</f>
        <v>36-45</v>
      </c>
      <c r="C406" t="s">
        <v>9</v>
      </c>
      <c r="D406">
        <v>2</v>
      </c>
      <c r="E406" t="s">
        <v>10</v>
      </c>
      <c r="F406" t="s">
        <v>11</v>
      </c>
      <c r="G406" t="s">
        <v>15</v>
      </c>
      <c r="H406">
        <v>2899</v>
      </c>
      <c r="I406">
        <v>18</v>
      </c>
      <c r="J406" t="s">
        <v>19</v>
      </c>
      <c r="K406" t="str">
        <f>IF(AND(credit[[#This Row],[Credit amount]]&gt;9000,credit[[#This Row],[Saving accounts]]="little"),"High","Low")</f>
        <v>Low</v>
      </c>
    </row>
    <row r="407" spans="1:11" x14ac:dyDescent="0.25">
      <c r="A407">
        <v>22</v>
      </c>
      <c r="B407" s="13" t="str" cm="1">
        <f t="array" ref="B407">_xlfn.IFS(credit[[#This Row],[Age]]&lt;=25,"18-25",credit[[#This Row],[Age]]&lt;=35,"26-35",credit[[#This Row],[Age]]&lt;=45,"36-45",credit[[#This Row],[Age]]&lt;=60,"46-60",TRUE,"60+")</f>
        <v>18-25</v>
      </c>
      <c r="C407" t="s">
        <v>9</v>
      </c>
      <c r="D407">
        <v>2</v>
      </c>
      <c r="E407" t="s">
        <v>10</v>
      </c>
      <c r="F407" t="s">
        <v>12</v>
      </c>
      <c r="G407" t="s">
        <v>15</v>
      </c>
      <c r="H407">
        <v>2039</v>
      </c>
      <c r="I407">
        <v>24</v>
      </c>
      <c r="J407" t="s">
        <v>13</v>
      </c>
      <c r="K407" t="str">
        <f>IF(AND(credit[[#This Row],[Credit amount]]&gt;9000,credit[[#This Row],[Saving accounts]]="little"),"High","Low")</f>
        <v>Low</v>
      </c>
    </row>
    <row r="408" spans="1:11" x14ac:dyDescent="0.25">
      <c r="A408">
        <v>43</v>
      </c>
      <c r="B408" s="13" t="str" cm="1">
        <f t="array" ref="B408">_xlfn.IFS(credit[[#This Row],[Age]]&lt;=25,"18-25",credit[[#This Row],[Age]]&lt;=35,"26-35",credit[[#This Row],[Age]]&lt;=45,"36-45",credit[[#This Row],[Age]]&lt;=60,"46-60",TRUE,"60+")</f>
        <v>36-45</v>
      </c>
      <c r="C408" t="s">
        <v>9</v>
      </c>
      <c r="D408">
        <v>2</v>
      </c>
      <c r="E408" t="s">
        <v>10</v>
      </c>
      <c r="F408" t="s">
        <v>11</v>
      </c>
      <c r="G408" t="s">
        <v>11</v>
      </c>
      <c r="H408">
        <v>2197</v>
      </c>
      <c r="I408">
        <v>24</v>
      </c>
      <c r="J408" t="s">
        <v>19</v>
      </c>
      <c r="K408" t="str">
        <f>IF(AND(credit[[#This Row],[Credit amount]]&gt;9000,credit[[#This Row],[Saving accounts]]="little"),"High","Low")</f>
        <v>Low</v>
      </c>
    </row>
    <row r="409" spans="1:11" x14ac:dyDescent="0.25">
      <c r="A409">
        <v>27</v>
      </c>
      <c r="B409" s="13" t="str" cm="1">
        <f t="array" ref="B409">_xlfn.IFS(credit[[#This Row],[Age]]&lt;=25,"18-25",credit[[#This Row],[Age]]&lt;=35,"26-35",credit[[#This Row],[Age]]&lt;=45,"36-45",credit[[#This Row],[Age]]&lt;=60,"46-60",TRUE,"60+")</f>
        <v>26-35</v>
      </c>
      <c r="C409" t="s">
        <v>9</v>
      </c>
      <c r="D409">
        <v>2</v>
      </c>
      <c r="E409" t="s">
        <v>10</v>
      </c>
      <c r="F409" t="s">
        <v>12</v>
      </c>
      <c r="G409" t="s">
        <v>12</v>
      </c>
      <c r="H409">
        <v>1053</v>
      </c>
      <c r="I409">
        <v>15</v>
      </c>
      <c r="J409" t="s">
        <v>13</v>
      </c>
      <c r="K409" t="str">
        <f>IF(AND(credit[[#This Row],[Credit amount]]&gt;9000,credit[[#This Row],[Saving accounts]]="little"),"High","Low")</f>
        <v>Low</v>
      </c>
    </row>
    <row r="410" spans="1:11" x14ac:dyDescent="0.25">
      <c r="A410">
        <v>26</v>
      </c>
      <c r="B410" s="13" t="str" cm="1">
        <f t="array" ref="B410">_xlfn.IFS(credit[[#This Row],[Age]]&lt;=25,"18-25",credit[[#This Row],[Age]]&lt;=35,"26-35",credit[[#This Row],[Age]]&lt;=45,"36-45",credit[[#This Row],[Age]]&lt;=60,"46-60",TRUE,"60+")</f>
        <v>26-35</v>
      </c>
      <c r="C410" t="s">
        <v>9</v>
      </c>
      <c r="D410">
        <v>3</v>
      </c>
      <c r="E410" t="s">
        <v>10</v>
      </c>
      <c r="F410" t="s">
        <v>20</v>
      </c>
      <c r="G410" t="s">
        <v>11</v>
      </c>
      <c r="H410">
        <v>3235</v>
      </c>
      <c r="I410">
        <v>24</v>
      </c>
      <c r="J410" t="s">
        <v>13</v>
      </c>
      <c r="K410" t="str">
        <f>IF(AND(credit[[#This Row],[Credit amount]]&gt;9000,credit[[#This Row],[Saving accounts]]="little"),"High","Low")</f>
        <v>Low</v>
      </c>
    </row>
    <row r="411" spans="1:11" x14ac:dyDescent="0.25">
      <c r="A411">
        <v>28</v>
      </c>
      <c r="B411" s="13" t="str" cm="1">
        <f t="array" ref="B411">_xlfn.IFS(credit[[#This Row],[Age]]&lt;=25,"18-25",credit[[#This Row],[Age]]&lt;=35,"26-35",credit[[#This Row],[Age]]&lt;=45,"36-45",credit[[#This Row],[Age]]&lt;=60,"46-60",TRUE,"60+")</f>
        <v>26-35</v>
      </c>
      <c r="C411" t="s">
        <v>9</v>
      </c>
      <c r="D411">
        <v>2</v>
      </c>
      <c r="E411" t="s">
        <v>10</v>
      </c>
      <c r="F411" t="s">
        <v>20</v>
      </c>
      <c r="G411" t="s">
        <v>22</v>
      </c>
      <c r="H411">
        <v>939</v>
      </c>
      <c r="I411">
        <v>12</v>
      </c>
      <c r="J411" t="s">
        <v>19</v>
      </c>
      <c r="K411" t="str">
        <f>IF(AND(credit[[#This Row],[Credit amount]]&gt;9000,credit[[#This Row],[Saving accounts]]="little"),"High","Low")</f>
        <v>Low</v>
      </c>
    </row>
    <row r="412" spans="1:11" x14ac:dyDescent="0.25">
      <c r="A412">
        <v>20</v>
      </c>
      <c r="B412" s="13" t="str" cm="1">
        <f t="array" ref="B412">_xlfn.IFS(credit[[#This Row],[Age]]&lt;=25,"18-25",credit[[#This Row],[Age]]&lt;=35,"26-35",credit[[#This Row],[Age]]&lt;=45,"36-45",credit[[#This Row],[Age]]&lt;=60,"46-60",TRUE,"60+")</f>
        <v>18-25</v>
      </c>
      <c r="C412" t="s">
        <v>14</v>
      </c>
      <c r="D412">
        <v>2</v>
      </c>
      <c r="E412" t="s">
        <v>10</v>
      </c>
      <c r="F412" t="s">
        <v>12</v>
      </c>
      <c r="G412" t="s">
        <v>15</v>
      </c>
      <c r="H412">
        <v>1967</v>
      </c>
      <c r="I412">
        <v>24</v>
      </c>
      <c r="J412" t="s">
        <v>13</v>
      </c>
      <c r="K412" t="str">
        <f>IF(AND(credit[[#This Row],[Credit amount]]&gt;9000,credit[[#This Row],[Saving accounts]]="little"),"High","Low")</f>
        <v>Low</v>
      </c>
    </row>
    <row r="413" spans="1:11" x14ac:dyDescent="0.25">
      <c r="A413">
        <v>35</v>
      </c>
      <c r="B413" s="13" t="str" cm="1">
        <f t="array" ref="B413">_xlfn.IFS(credit[[#This Row],[Age]]&lt;=25,"18-25",credit[[#This Row],[Age]]&lt;=35,"26-35",credit[[#This Row],[Age]]&lt;=45,"36-45",credit[[#This Row],[Age]]&lt;=60,"46-60",TRUE,"60+")</f>
        <v>26-35</v>
      </c>
      <c r="C413" t="s">
        <v>9</v>
      </c>
      <c r="D413">
        <v>3</v>
      </c>
      <c r="E413" t="s">
        <v>10</v>
      </c>
      <c r="F413" t="s">
        <v>12</v>
      </c>
      <c r="G413" t="s">
        <v>11</v>
      </c>
      <c r="H413">
        <v>7253</v>
      </c>
      <c r="I413">
        <v>33</v>
      </c>
      <c r="J413" t="s">
        <v>19</v>
      </c>
      <c r="K413" t="str">
        <f>IF(AND(credit[[#This Row],[Credit amount]]&gt;9000,credit[[#This Row],[Saving accounts]]="little"),"High","Low")</f>
        <v>Low</v>
      </c>
    </row>
    <row r="414" spans="1:11" x14ac:dyDescent="0.25">
      <c r="A414">
        <v>42</v>
      </c>
      <c r="B414" s="13" t="str" cm="1">
        <f t="array" ref="B414">_xlfn.IFS(credit[[#This Row],[Age]]&lt;=25,"18-25",credit[[#This Row],[Age]]&lt;=35,"26-35",credit[[#This Row],[Age]]&lt;=45,"36-45",credit[[#This Row],[Age]]&lt;=60,"46-60",TRUE,"60+")</f>
        <v>36-45</v>
      </c>
      <c r="C414" t="s">
        <v>9</v>
      </c>
      <c r="D414">
        <v>3</v>
      </c>
      <c r="E414" t="s">
        <v>10</v>
      </c>
      <c r="F414" t="s">
        <v>12</v>
      </c>
      <c r="G414" t="s">
        <v>11</v>
      </c>
      <c r="H414">
        <v>2292</v>
      </c>
      <c r="I414">
        <v>12</v>
      </c>
      <c r="J414" t="s">
        <v>23</v>
      </c>
      <c r="K414" t="str">
        <f>IF(AND(credit[[#This Row],[Credit amount]]&gt;9000,credit[[#This Row],[Saving accounts]]="little"),"High","Low")</f>
        <v>Low</v>
      </c>
    </row>
    <row r="415" spans="1:11" x14ac:dyDescent="0.25">
      <c r="A415">
        <v>40</v>
      </c>
      <c r="B415" s="13" t="str" cm="1">
        <f t="array" ref="B415">_xlfn.IFS(credit[[#This Row],[Age]]&lt;=25,"18-25",credit[[#This Row],[Age]]&lt;=35,"26-35",credit[[#This Row],[Age]]&lt;=45,"36-45",credit[[#This Row],[Age]]&lt;=60,"46-60",TRUE,"60+")</f>
        <v>36-45</v>
      </c>
      <c r="C415" t="s">
        <v>9</v>
      </c>
      <c r="D415">
        <v>1</v>
      </c>
      <c r="E415" t="s">
        <v>21</v>
      </c>
      <c r="F415" t="s">
        <v>20</v>
      </c>
      <c r="G415" t="s">
        <v>11</v>
      </c>
      <c r="H415">
        <v>1597</v>
      </c>
      <c r="I415">
        <v>10</v>
      </c>
      <c r="J415" t="s">
        <v>19</v>
      </c>
      <c r="K415" t="str">
        <f>IF(AND(credit[[#This Row],[Credit amount]]&gt;9000,credit[[#This Row],[Saving accounts]]="little"),"High","Low")</f>
        <v>Low</v>
      </c>
    </row>
    <row r="416" spans="1:11" x14ac:dyDescent="0.25">
      <c r="A416">
        <v>35</v>
      </c>
      <c r="B416" s="13" t="str" cm="1">
        <f t="array" ref="B416">_xlfn.IFS(credit[[#This Row],[Age]]&lt;=25,"18-25",credit[[#This Row],[Age]]&lt;=35,"26-35",credit[[#This Row],[Age]]&lt;=45,"36-45",credit[[#This Row],[Age]]&lt;=60,"46-60",TRUE,"60+")</f>
        <v>26-35</v>
      </c>
      <c r="C416" t="s">
        <v>14</v>
      </c>
      <c r="D416">
        <v>2</v>
      </c>
      <c r="E416" t="s">
        <v>10</v>
      </c>
      <c r="F416" t="s">
        <v>11</v>
      </c>
      <c r="G416" t="s">
        <v>12</v>
      </c>
      <c r="H416">
        <v>1381</v>
      </c>
      <c r="I416">
        <v>24</v>
      </c>
      <c r="J416" t="s">
        <v>19</v>
      </c>
      <c r="K416" t="str">
        <f>IF(AND(credit[[#This Row],[Credit amount]]&gt;9000,credit[[#This Row],[Saving accounts]]="little"),"High","Low")</f>
        <v>Low</v>
      </c>
    </row>
    <row r="417" spans="1:11" x14ac:dyDescent="0.25">
      <c r="A417">
        <v>35</v>
      </c>
      <c r="B417" s="13" t="str" cm="1">
        <f t="array" ref="B417">_xlfn.IFS(credit[[#This Row],[Age]]&lt;=25,"18-25",credit[[#This Row],[Age]]&lt;=35,"26-35",credit[[#This Row],[Age]]&lt;=45,"36-45",credit[[#This Row],[Age]]&lt;=60,"46-60",TRUE,"60+")</f>
        <v>26-35</v>
      </c>
      <c r="C417" t="s">
        <v>9</v>
      </c>
      <c r="D417">
        <v>2</v>
      </c>
      <c r="E417" t="s">
        <v>10</v>
      </c>
      <c r="F417" t="s">
        <v>12</v>
      </c>
      <c r="G417" t="s">
        <v>11</v>
      </c>
      <c r="H417">
        <v>5842</v>
      </c>
      <c r="I417">
        <v>36</v>
      </c>
      <c r="J417" t="s">
        <v>19</v>
      </c>
      <c r="K417" t="str">
        <f>IF(AND(credit[[#This Row],[Credit amount]]&gt;9000,credit[[#This Row],[Saving accounts]]="little"),"High","Low")</f>
        <v>Low</v>
      </c>
    </row>
    <row r="418" spans="1:11" x14ac:dyDescent="0.25">
      <c r="A418">
        <v>33</v>
      </c>
      <c r="B418" s="13" t="str" cm="1">
        <f t="array" ref="B418">_xlfn.IFS(credit[[#This Row],[Age]]&lt;=25,"18-25",credit[[#This Row],[Age]]&lt;=35,"26-35",credit[[#This Row],[Age]]&lt;=45,"36-45",credit[[#This Row],[Age]]&lt;=60,"46-60",TRUE,"60+")</f>
        <v>26-35</v>
      </c>
      <c r="C418" t="s">
        <v>9</v>
      </c>
      <c r="D418">
        <v>1</v>
      </c>
      <c r="E418" t="s">
        <v>10</v>
      </c>
      <c r="F418" t="s">
        <v>12</v>
      </c>
      <c r="G418" t="s">
        <v>12</v>
      </c>
      <c r="H418">
        <v>2579</v>
      </c>
      <c r="I418">
        <v>12</v>
      </c>
      <c r="J418" t="s">
        <v>19</v>
      </c>
      <c r="K418" t="str">
        <f>IF(AND(credit[[#This Row],[Credit amount]]&gt;9000,credit[[#This Row],[Saving accounts]]="little"),"High","Low")</f>
        <v>Low</v>
      </c>
    </row>
    <row r="419" spans="1:11" x14ac:dyDescent="0.25">
      <c r="A419">
        <v>23</v>
      </c>
      <c r="B419" s="13" t="str" cm="1">
        <f t="array" ref="B419">_xlfn.IFS(credit[[#This Row],[Age]]&lt;=25,"18-25",credit[[#This Row],[Age]]&lt;=35,"26-35",credit[[#This Row],[Age]]&lt;=45,"36-45",credit[[#This Row],[Age]]&lt;=60,"46-60",TRUE,"60+")</f>
        <v>18-25</v>
      </c>
      <c r="C419" t="s">
        <v>14</v>
      </c>
      <c r="D419">
        <v>2</v>
      </c>
      <c r="E419" t="s">
        <v>21</v>
      </c>
      <c r="F419" t="s">
        <v>11</v>
      </c>
      <c r="G419" t="s">
        <v>12</v>
      </c>
      <c r="H419">
        <v>8471</v>
      </c>
      <c r="I419">
        <v>18</v>
      </c>
      <c r="J419" t="s">
        <v>16</v>
      </c>
      <c r="K419" t="str">
        <f>IF(AND(credit[[#This Row],[Credit amount]]&gt;9000,credit[[#This Row],[Saving accounts]]="little"),"High","Low")</f>
        <v>Low</v>
      </c>
    </row>
    <row r="420" spans="1:11" x14ac:dyDescent="0.25">
      <c r="A420">
        <v>31</v>
      </c>
      <c r="B420" s="13" t="str" cm="1">
        <f t="array" ref="B420">_xlfn.IFS(credit[[#This Row],[Age]]&lt;=25,"18-25",credit[[#This Row],[Age]]&lt;=35,"26-35",credit[[#This Row],[Age]]&lt;=45,"36-45",credit[[#This Row],[Age]]&lt;=60,"46-60",TRUE,"60+")</f>
        <v>26-35</v>
      </c>
      <c r="C420" t="s">
        <v>14</v>
      </c>
      <c r="D420">
        <v>3</v>
      </c>
      <c r="E420" t="s">
        <v>10</v>
      </c>
      <c r="F420" t="s">
        <v>20</v>
      </c>
      <c r="G420" t="s">
        <v>11</v>
      </c>
      <c r="H420">
        <v>2782</v>
      </c>
      <c r="I420">
        <v>21</v>
      </c>
      <c r="J420" t="s">
        <v>19</v>
      </c>
      <c r="K420" t="str">
        <f>IF(AND(credit[[#This Row],[Credit amount]]&gt;9000,credit[[#This Row],[Saving accounts]]="little"),"High","Low")</f>
        <v>Low</v>
      </c>
    </row>
    <row r="421" spans="1:11" x14ac:dyDescent="0.25">
      <c r="A421">
        <v>33</v>
      </c>
      <c r="B421" s="13" t="str" cm="1">
        <f t="array" ref="B421">_xlfn.IFS(credit[[#This Row],[Age]]&lt;=25,"18-25",credit[[#This Row],[Age]]&lt;=35,"26-35",credit[[#This Row],[Age]]&lt;=45,"36-45",credit[[#This Row],[Age]]&lt;=60,"46-60",TRUE,"60+")</f>
        <v>26-35</v>
      </c>
      <c r="C421" t="s">
        <v>14</v>
      </c>
      <c r="D421">
        <v>2</v>
      </c>
      <c r="E421" t="s">
        <v>10</v>
      </c>
      <c r="F421" t="s">
        <v>11</v>
      </c>
      <c r="G421" t="s">
        <v>15</v>
      </c>
      <c r="H421">
        <v>1042</v>
      </c>
      <c r="I421">
        <v>18</v>
      </c>
      <c r="J421" t="s">
        <v>19</v>
      </c>
      <c r="K421" t="str">
        <f>IF(AND(credit[[#This Row],[Credit amount]]&gt;9000,credit[[#This Row],[Saving accounts]]="little"),"High","Low")</f>
        <v>Low</v>
      </c>
    </row>
    <row r="422" spans="1:11" x14ac:dyDescent="0.25">
      <c r="A422">
        <v>20</v>
      </c>
      <c r="B422" s="13" t="str" cm="1">
        <f t="array" ref="B422">_xlfn.IFS(credit[[#This Row],[Age]]&lt;=25,"18-25",credit[[#This Row],[Age]]&lt;=35,"26-35",credit[[#This Row],[Age]]&lt;=45,"36-45",credit[[#This Row],[Age]]&lt;=60,"46-60",TRUE,"60+")</f>
        <v>18-25</v>
      </c>
      <c r="C422" t="s">
        <v>14</v>
      </c>
      <c r="D422">
        <v>2</v>
      </c>
      <c r="E422" t="s">
        <v>21</v>
      </c>
      <c r="F422" t="s">
        <v>22</v>
      </c>
      <c r="G422" t="s">
        <v>11</v>
      </c>
      <c r="H422">
        <v>3186</v>
      </c>
      <c r="I422">
        <v>15</v>
      </c>
      <c r="J422" t="s">
        <v>19</v>
      </c>
      <c r="K422" t="str">
        <f>IF(AND(credit[[#This Row],[Credit amount]]&gt;9000,credit[[#This Row],[Saving accounts]]="little"),"High","Low")</f>
        <v>Low</v>
      </c>
    </row>
    <row r="423" spans="1:11" x14ac:dyDescent="0.25">
      <c r="A423">
        <v>30</v>
      </c>
      <c r="B423" s="13" t="str" cm="1">
        <f t="array" ref="B423">_xlfn.IFS(credit[[#This Row],[Age]]&lt;=25,"18-25",credit[[#This Row],[Age]]&lt;=35,"26-35",credit[[#This Row],[Age]]&lt;=45,"36-45",credit[[#This Row],[Age]]&lt;=60,"46-60",TRUE,"60+")</f>
        <v>26-35</v>
      </c>
      <c r="C423" t="s">
        <v>9</v>
      </c>
      <c r="D423">
        <v>2</v>
      </c>
      <c r="E423" t="s">
        <v>10</v>
      </c>
      <c r="F423" t="s">
        <v>11</v>
      </c>
      <c r="G423" t="s">
        <v>15</v>
      </c>
      <c r="H423">
        <v>2028</v>
      </c>
      <c r="I423">
        <v>12</v>
      </c>
      <c r="J423" t="s">
        <v>19</v>
      </c>
      <c r="K423" t="str">
        <f>IF(AND(credit[[#This Row],[Credit amount]]&gt;9000,credit[[#This Row],[Saving accounts]]="little"),"High","Low")</f>
        <v>Low</v>
      </c>
    </row>
    <row r="424" spans="1:11" x14ac:dyDescent="0.25">
      <c r="A424">
        <v>47</v>
      </c>
      <c r="B424" s="13" t="str" cm="1">
        <f t="array" ref="B424">_xlfn.IFS(credit[[#This Row],[Age]]&lt;=25,"18-25",credit[[#This Row],[Age]]&lt;=35,"26-35",credit[[#This Row],[Age]]&lt;=45,"36-45",credit[[#This Row],[Age]]&lt;=60,"46-60",TRUE,"60+")</f>
        <v>46-60</v>
      </c>
      <c r="C424" t="s">
        <v>9</v>
      </c>
      <c r="D424">
        <v>1</v>
      </c>
      <c r="E424" t="s">
        <v>10</v>
      </c>
      <c r="F424" t="s">
        <v>12</v>
      </c>
      <c r="G424" t="s">
        <v>15</v>
      </c>
      <c r="H424">
        <v>958</v>
      </c>
      <c r="I424">
        <v>12</v>
      </c>
      <c r="J424" t="s">
        <v>19</v>
      </c>
      <c r="K424" t="str">
        <f>IF(AND(credit[[#This Row],[Credit amount]]&gt;9000,credit[[#This Row],[Saving accounts]]="little"),"High","Low")</f>
        <v>Low</v>
      </c>
    </row>
    <row r="425" spans="1:11" x14ac:dyDescent="0.25">
      <c r="A425">
        <v>34</v>
      </c>
      <c r="B425" s="13" t="str" cm="1">
        <f t="array" ref="B425">_xlfn.IFS(credit[[#This Row],[Age]]&lt;=25,"18-25",credit[[#This Row],[Age]]&lt;=35,"26-35",credit[[#This Row],[Age]]&lt;=45,"36-45",credit[[#This Row],[Age]]&lt;=60,"46-60",TRUE,"60+")</f>
        <v>26-35</v>
      </c>
      <c r="C425" t="s">
        <v>9</v>
      </c>
      <c r="D425">
        <v>3</v>
      </c>
      <c r="E425" t="s">
        <v>10</v>
      </c>
      <c r="F425" t="s">
        <v>15</v>
      </c>
      <c r="G425" t="s">
        <v>11</v>
      </c>
      <c r="H425">
        <v>1591</v>
      </c>
      <c r="I425">
        <v>21</v>
      </c>
      <c r="J425" t="s">
        <v>18</v>
      </c>
      <c r="K425" t="str">
        <f>IF(AND(credit[[#This Row],[Credit amount]]&gt;9000,credit[[#This Row],[Saving accounts]]="little"),"High","Low")</f>
        <v>Low</v>
      </c>
    </row>
    <row r="426" spans="1:11" x14ac:dyDescent="0.25">
      <c r="A426">
        <v>25</v>
      </c>
      <c r="B426" s="13" t="str" cm="1">
        <f t="array" ref="B426">_xlfn.IFS(credit[[#This Row],[Age]]&lt;=25,"18-25",credit[[#This Row],[Age]]&lt;=35,"26-35",credit[[#This Row],[Age]]&lt;=45,"36-45",credit[[#This Row],[Age]]&lt;=60,"46-60",TRUE,"60+")</f>
        <v>18-25</v>
      </c>
      <c r="C426" t="s">
        <v>14</v>
      </c>
      <c r="D426">
        <v>2</v>
      </c>
      <c r="E426" t="s">
        <v>10</v>
      </c>
      <c r="F426" t="s">
        <v>11</v>
      </c>
      <c r="G426" t="s">
        <v>15</v>
      </c>
      <c r="H426">
        <v>2762</v>
      </c>
      <c r="I426">
        <v>12</v>
      </c>
      <c r="J426" t="s">
        <v>18</v>
      </c>
      <c r="K426" t="str">
        <f>IF(AND(credit[[#This Row],[Credit amount]]&gt;9000,credit[[#This Row],[Saving accounts]]="little"),"High","Low")</f>
        <v>Low</v>
      </c>
    </row>
    <row r="427" spans="1:11" x14ac:dyDescent="0.25">
      <c r="A427">
        <v>21</v>
      </c>
      <c r="B427" s="13" t="str" cm="1">
        <f t="array" ref="B427">_xlfn.IFS(credit[[#This Row],[Age]]&lt;=25,"18-25",credit[[#This Row],[Age]]&lt;=35,"26-35",credit[[#This Row],[Age]]&lt;=45,"36-45",credit[[#This Row],[Age]]&lt;=60,"46-60",TRUE,"60+")</f>
        <v>18-25</v>
      </c>
      <c r="C427" t="s">
        <v>9</v>
      </c>
      <c r="D427">
        <v>2</v>
      </c>
      <c r="E427" t="s">
        <v>21</v>
      </c>
      <c r="F427" t="s">
        <v>12</v>
      </c>
      <c r="G427" t="s">
        <v>15</v>
      </c>
      <c r="H427">
        <v>2779</v>
      </c>
      <c r="I427">
        <v>18</v>
      </c>
      <c r="J427" t="s">
        <v>19</v>
      </c>
      <c r="K427" t="str">
        <f>IF(AND(credit[[#This Row],[Credit amount]]&gt;9000,credit[[#This Row],[Saving accounts]]="little"),"High","Low")</f>
        <v>Low</v>
      </c>
    </row>
    <row r="428" spans="1:11" x14ac:dyDescent="0.25">
      <c r="A428">
        <v>29</v>
      </c>
      <c r="B428" s="13" t="str" cm="1">
        <f t="array" ref="B428">_xlfn.IFS(credit[[#This Row],[Age]]&lt;=25,"18-25",credit[[#This Row],[Age]]&lt;=35,"26-35",credit[[#This Row],[Age]]&lt;=45,"36-45",credit[[#This Row],[Age]]&lt;=60,"46-60",TRUE,"60+")</f>
        <v>26-35</v>
      </c>
      <c r="C428" t="s">
        <v>9</v>
      </c>
      <c r="D428">
        <v>2</v>
      </c>
      <c r="E428" t="s">
        <v>10</v>
      </c>
      <c r="F428" t="s">
        <v>12</v>
      </c>
      <c r="G428" t="s">
        <v>11</v>
      </c>
      <c r="H428">
        <v>2743</v>
      </c>
      <c r="I428">
        <v>28</v>
      </c>
      <c r="J428" t="s">
        <v>13</v>
      </c>
      <c r="K428" t="str">
        <f>IF(AND(credit[[#This Row],[Credit amount]]&gt;9000,credit[[#This Row],[Saving accounts]]="little"),"High","Low")</f>
        <v>Low</v>
      </c>
    </row>
    <row r="429" spans="1:11" x14ac:dyDescent="0.25">
      <c r="A429">
        <v>46</v>
      </c>
      <c r="B429" s="13" t="str" cm="1">
        <f t="array" ref="B429">_xlfn.IFS(credit[[#This Row],[Age]]&lt;=25,"18-25",credit[[#This Row],[Age]]&lt;=35,"26-35",credit[[#This Row],[Age]]&lt;=45,"36-45",credit[[#This Row],[Age]]&lt;=60,"46-60",TRUE,"60+")</f>
        <v>46-60</v>
      </c>
      <c r="C429" t="s">
        <v>9</v>
      </c>
      <c r="D429">
        <v>2</v>
      </c>
      <c r="E429" t="s">
        <v>10</v>
      </c>
      <c r="F429" t="s">
        <v>22</v>
      </c>
      <c r="G429" t="s">
        <v>11</v>
      </c>
      <c r="H429">
        <v>1149</v>
      </c>
      <c r="I429">
        <v>18</v>
      </c>
      <c r="J429" t="s">
        <v>13</v>
      </c>
      <c r="K429" t="str">
        <f>IF(AND(credit[[#This Row],[Credit amount]]&gt;9000,credit[[#This Row],[Saving accounts]]="little"),"High","Low")</f>
        <v>Low</v>
      </c>
    </row>
    <row r="430" spans="1:11" x14ac:dyDescent="0.25">
      <c r="A430">
        <v>20</v>
      </c>
      <c r="B430" s="13" t="str" cm="1">
        <f t="array" ref="B430">_xlfn.IFS(credit[[#This Row],[Age]]&lt;=25,"18-25",credit[[#This Row],[Age]]&lt;=35,"26-35",credit[[#This Row],[Age]]&lt;=45,"36-45",credit[[#This Row],[Age]]&lt;=60,"46-60",TRUE,"60+")</f>
        <v>18-25</v>
      </c>
      <c r="C430" t="s">
        <v>9</v>
      </c>
      <c r="D430">
        <v>2</v>
      </c>
      <c r="E430" t="s">
        <v>10</v>
      </c>
      <c r="F430" t="s">
        <v>12</v>
      </c>
      <c r="G430" t="s">
        <v>11</v>
      </c>
      <c r="H430">
        <v>1313</v>
      </c>
      <c r="I430">
        <v>9</v>
      </c>
      <c r="J430" t="s">
        <v>18</v>
      </c>
      <c r="K430" t="str">
        <f>IF(AND(credit[[#This Row],[Credit amount]]&gt;9000,credit[[#This Row],[Saving accounts]]="little"),"High","Low")</f>
        <v>Low</v>
      </c>
    </row>
    <row r="431" spans="1:11" x14ac:dyDescent="0.25">
      <c r="A431">
        <v>55</v>
      </c>
      <c r="B431" s="13" t="str" cm="1">
        <f t="array" ref="B431">_xlfn.IFS(credit[[#This Row],[Age]]&lt;=25,"18-25",credit[[#This Row],[Age]]&lt;=35,"26-35",credit[[#This Row],[Age]]&lt;=45,"36-45",credit[[#This Row],[Age]]&lt;=60,"46-60",TRUE,"60+")</f>
        <v>46-60</v>
      </c>
      <c r="C431" t="s">
        <v>14</v>
      </c>
      <c r="D431">
        <v>0</v>
      </c>
      <c r="E431" t="s">
        <v>17</v>
      </c>
      <c r="F431" t="s">
        <v>12</v>
      </c>
      <c r="G431" t="s">
        <v>12</v>
      </c>
      <c r="H431">
        <v>1190</v>
      </c>
      <c r="I431">
        <v>18</v>
      </c>
      <c r="J431" t="s">
        <v>25</v>
      </c>
      <c r="K431" t="str">
        <f>IF(AND(credit[[#This Row],[Credit amount]]&gt;9000,credit[[#This Row],[Saving accounts]]="little"),"High","Low")</f>
        <v>Low</v>
      </c>
    </row>
    <row r="432" spans="1:11" x14ac:dyDescent="0.25">
      <c r="A432">
        <v>74</v>
      </c>
      <c r="B432" s="13" t="str" cm="1">
        <f t="array" ref="B432">_xlfn.IFS(credit[[#This Row],[Age]]&lt;=25,"18-25",credit[[#This Row],[Age]]&lt;=35,"26-35",credit[[#This Row],[Age]]&lt;=45,"36-45",credit[[#This Row],[Age]]&lt;=60,"46-60",TRUE,"60+")</f>
        <v>60+</v>
      </c>
      <c r="C432" t="s">
        <v>9</v>
      </c>
      <c r="D432">
        <v>1</v>
      </c>
      <c r="E432" t="s">
        <v>10</v>
      </c>
      <c r="F432" t="s">
        <v>12</v>
      </c>
      <c r="G432" t="s">
        <v>11</v>
      </c>
      <c r="H432">
        <v>3448</v>
      </c>
      <c r="I432">
        <v>5</v>
      </c>
      <c r="J432" t="s">
        <v>23</v>
      </c>
      <c r="K432" t="str">
        <f>IF(AND(credit[[#This Row],[Credit amount]]&gt;9000,credit[[#This Row],[Saving accounts]]="little"),"High","Low")</f>
        <v>Low</v>
      </c>
    </row>
    <row r="433" spans="1:11" x14ac:dyDescent="0.25">
      <c r="A433">
        <v>29</v>
      </c>
      <c r="B433" s="13" t="str" cm="1">
        <f t="array" ref="B433">_xlfn.IFS(credit[[#This Row],[Age]]&lt;=25,"18-25",credit[[#This Row],[Age]]&lt;=35,"26-35",credit[[#This Row],[Age]]&lt;=45,"36-45",credit[[#This Row],[Age]]&lt;=60,"46-60",TRUE,"60+")</f>
        <v>26-35</v>
      </c>
      <c r="C433" t="s">
        <v>9</v>
      </c>
      <c r="D433">
        <v>3</v>
      </c>
      <c r="E433" t="s">
        <v>10</v>
      </c>
      <c r="F433" t="s">
        <v>12</v>
      </c>
      <c r="G433" t="s">
        <v>15</v>
      </c>
      <c r="H433">
        <v>11328</v>
      </c>
      <c r="I433">
        <v>24</v>
      </c>
      <c r="J433" t="s">
        <v>26</v>
      </c>
      <c r="K433" t="str">
        <f>IF(AND(credit[[#This Row],[Credit amount]]&gt;9000,credit[[#This Row],[Saving accounts]]="little"),"High","Low")</f>
        <v>High</v>
      </c>
    </row>
    <row r="434" spans="1:11" x14ac:dyDescent="0.25">
      <c r="A434">
        <v>36</v>
      </c>
      <c r="B434" s="13" t="str" cm="1">
        <f t="array" ref="B434">_xlfn.IFS(credit[[#This Row],[Age]]&lt;=25,"18-25",credit[[#This Row],[Age]]&lt;=35,"26-35",credit[[#This Row],[Age]]&lt;=45,"36-45",credit[[#This Row],[Age]]&lt;=60,"46-60",TRUE,"60+")</f>
        <v>36-45</v>
      </c>
      <c r="C434" t="s">
        <v>9</v>
      </c>
      <c r="D434">
        <v>3</v>
      </c>
      <c r="E434" t="s">
        <v>17</v>
      </c>
      <c r="F434" t="s">
        <v>12</v>
      </c>
      <c r="G434" t="s">
        <v>12</v>
      </c>
      <c r="H434">
        <v>1872</v>
      </c>
      <c r="I434">
        <v>6</v>
      </c>
      <c r="J434" t="s">
        <v>18</v>
      </c>
      <c r="K434" t="str">
        <f>IF(AND(credit[[#This Row],[Credit amount]]&gt;9000,credit[[#This Row],[Saving accounts]]="little"),"High","Low")</f>
        <v>Low</v>
      </c>
    </row>
    <row r="435" spans="1:11" x14ac:dyDescent="0.25">
      <c r="A435">
        <v>33</v>
      </c>
      <c r="B435" s="13" t="str" cm="1">
        <f t="array" ref="B435">_xlfn.IFS(credit[[#This Row],[Age]]&lt;=25,"18-25",credit[[#This Row],[Age]]&lt;=35,"26-35",credit[[#This Row],[Age]]&lt;=45,"36-45",credit[[#This Row],[Age]]&lt;=60,"46-60",TRUE,"60+")</f>
        <v>26-35</v>
      </c>
      <c r="C435" t="s">
        <v>9</v>
      </c>
      <c r="D435">
        <v>2</v>
      </c>
      <c r="E435" t="s">
        <v>10</v>
      </c>
      <c r="F435" t="s">
        <v>12</v>
      </c>
      <c r="G435" t="s">
        <v>11</v>
      </c>
      <c r="H435">
        <v>2058</v>
      </c>
      <c r="I435">
        <v>24</v>
      </c>
      <c r="J435" t="s">
        <v>25</v>
      </c>
      <c r="K435" t="str">
        <f>IF(AND(credit[[#This Row],[Credit amount]]&gt;9000,credit[[#This Row],[Saving accounts]]="little"),"High","Low")</f>
        <v>Low</v>
      </c>
    </row>
    <row r="436" spans="1:11" x14ac:dyDescent="0.25">
      <c r="A436">
        <v>25</v>
      </c>
      <c r="B436" s="13" t="str" cm="1">
        <f t="array" ref="B436">_xlfn.IFS(credit[[#This Row],[Age]]&lt;=25,"18-25",credit[[#This Row],[Age]]&lt;=35,"26-35",credit[[#This Row],[Age]]&lt;=45,"36-45",credit[[#This Row],[Age]]&lt;=60,"46-60",TRUE,"60+")</f>
        <v>18-25</v>
      </c>
      <c r="C436" t="s">
        <v>9</v>
      </c>
      <c r="D436">
        <v>2</v>
      </c>
      <c r="E436" t="s">
        <v>10</v>
      </c>
      <c r="F436" t="s">
        <v>12</v>
      </c>
      <c r="G436" t="s">
        <v>12</v>
      </c>
      <c r="H436">
        <v>2136</v>
      </c>
      <c r="I436">
        <v>9</v>
      </c>
      <c r="J436" t="s">
        <v>18</v>
      </c>
      <c r="K436" t="str">
        <f>IF(AND(credit[[#This Row],[Credit amount]]&gt;9000,credit[[#This Row],[Saving accounts]]="little"),"High","Low")</f>
        <v>Low</v>
      </c>
    </row>
    <row r="437" spans="1:11" x14ac:dyDescent="0.25">
      <c r="A437">
        <v>25</v>
      </c>
      <c r="B437" s="13" t="str" cm="1">
        <f t="array" ref="B437">_xlfn.IFS(credit[[#This Row],[Age]]&lt;=25,"18-25",credit[[#This Row],[Age]]&lt;=35,"26-35",credit[[#This Row],[Age]]&lt;=45,"36-45",credit[[#This Row],[Age]]&lt;=60,"46-60",TRUE,"60+")</f>
        <v>18-25</v>
      </c>
      <c r="C437" t="s">
        <v>9</v>
      </c>
      <c r="D437">
        <v>2</v>
      </c>
      <c r="E437" t="s">
        <v>10</v>
      </c>
      <c r="F437" t="s">
        <v>11</v>
      </c>
      <c r="G437" t="s">
        <v>15</v>
      </c>
      <c r="H437">
        <v>1484</v>
      </c>
      <c r="I437">
        <v>12</v>
      </c>
      <c r="J437" t="s">
        <v>13</v>
      </c>
      <c r="K437" t="str">
        <f>IF(AND(credit[[#This Row],[Credit amount]]&gt;9000,credit[[#This Row],[Saving accounts]]="little"),"High","Low")</f>
        <v>Low</v>
      </c>
    </row>
    <row r="438" spans="1:11" x14ac:dyDescent="0.25">
      <c r="A438">
        <v>23</v>
      </c>
      <c r="B438" s="13" t="str" cm="1">
        <f t="array" ref="B438">_xlfn.IFS(credit[[#This Row],[Age]]&lt;=25,"18-25",credit[[#This Row],[Age]]&lt;=35,"26-35",credit[[#This Row],[Age]]&lt;=45,"36-45",credit[[#This Row],[Age]]&lt;=60,"46-60",TRUE,"60+")</f>
        <v>18-25</v>
      </c>
      <c r="C438" t="s">
        <v>9</v>
      </c>
      <c r="D438">
        <v>1</v>
      </c>
      <c r="E438" t="s">
        <v>21</v>
      </c>
      <c r="F438" t="s">
        <v>20</v>
      </c>
      <c r="G438" t="s">
        <v>11</v>
      </c>
      <c r="H438">
        <v>660</v>
      </c>
      <c r="I438">
        <v>6</v>
      </c>
      <c r="J438" t="s">
        <v>25</v>
      </c>
      <c r="K438" t="str">
        <f>IF(AND(credit[[#This Row],[Credit amount]]&gt;9000,credit[[#This Row],[Saving accounts]]="little"),"High","Low")</f>
        <v>Low</v>
      </c>
    </row>
    <row r="439" spans="1:11" x14ac:dyDescent="0.25">
      <c r="A439">
        <v>37</v>
      </c>
      <c r="B439" s="13" t="str" cm="1">
        <f t="array" ref="B439">_xlfn.IFS(credit[[#This Row],[Age]]&lt;=25,"18-25",credit[[#This Row],[Age]]&lt;=35,"26-35",credit[[#This Row],[Age]]&lt;=45,"36-45",credit[[#This Row],[Age]]&lt;=60,"46-60",TRUE,"60+")</f>
        <v>36-45</v>
      </c>
      <c r="C439" t="s">
        <v>14</v>
      </c>
      <c r="D439">
        <v>2</v>
      </c>
      <c r="E439" t="s">
        <v>10</v>
      </c>
      <c r="F439" t="s">
        <v>22</v>
      </c>
      <c r="G439" t="s">
        <v>11</v>
      </c>
      <c r="H439">
        <v>1287</v>
      </c>
      <c r="I439">
        <v>24</v>
      </c>
      <c r="J439" t="s">
        <v>19</v>
      </c>
      <c r="K439" t="str">
        <f>IF(AND(credit[[#This Row],[Credit amount]]&gt;9000,credit[[#This Row],[Saving accounts]]="little"),"High","Low")</f>
        <v>Low</v>
      </c>
    </row>
    <row r="440" spans="1:11" x14ac:dyDescent="0.25">
      <c r="A440">
        <v>65</v>
      </c>
      <c r="B440" s="13" t="str" cm="1">
        <f t="array" ref="B440">_xlfn.IFS(credit[[#This Row],[Age]]&lt;=25,"18-25",credit[[#This Row],[Age]]&lt;=35,"26-35",credit[[#This Row],[Age]]&lt;=45,"36-45",credit[[#This Row],[Age]]&lt;=60,"46-60",TRUE,"60+")</f>
        <v>60+</v>
      </c>
      <c r="C440" t="s">
        <v>9</v>
      </c>
      <c r="D440">
        <v>0</v>
      </c>
      <c r="E440" t="s">
        <v>10</v>
      </c>
      <c r="F440" t="s">
        <v>12</v>
      </c>
      <c r="G440" t="s">
        <v>12</v>
      </c>
      <c r="H440">
        <v>3394</v>
      </c>
      <c r="I440">
        <v>42</v>
      </c>
      <c r="J440" t="s">
        <v>25</v>
      </c>
      <c r="K440" t="str">
        <f>IF(AND(credit[[#This Row],[Credit amount]]&gt;9000,credit[[#This Row],[Saving accounts]]="little"),"High","Low")</f>
        <v>Low</v>
      </c>
    </row>
    <row r="441" spans="1:11" x14ac:dyDescent="0.25">
      <c r="A441">
        <v>26</v>
      </c>
      <c r="B441" s="13" t="str" cm="1">
        <f t="array" ref="B441">_xlfn.IFS(credit[[#This Row],[Age]]&lt;=25,"18-25",credit[[#This Row],[Age]]&lt;=35,"26-35",credit[[#This Row],[Age]]&lt;=45,"36-45",credit[[#This Row],[Age]]&lt;=60,"46-60",TRUE,"60+")</f>
        <v>26-35</v>
      </c>
      <c r="C441" t="s">
        <v>14</v>
      </c>
      <c r="D441">
        <v>0</v>
      </c>
      <c r="E441" t="s">
        <v>10</v>
      </c>
      <c r="F441" t="s">
        <v>12</v>
      </c>
      <c r="G441" t="s">
        <v>22</v>
      </c>
      <c r="H441">
        <v>609</v>
      </c>
      <c r="I441">
        <v>12</v>
      </c>
      <c r="J441" t="s">
        <v>23</v>
      </c>
      <c r="K441" t="str">
        <f>IF(AND(credit[[#This Row],[Credit amount]]&gt;9000,credit[[#This Row],[Saving accounts]]="little"),"High","Low")</f>
        <v>Low</v>
      </c>
    </row>
    <row r="442" spans="1:11" x14ac:dyDescent="0.25">
      <c r="A442">
        <v>39</v>
      </c>
      <c r="B442" s="13" t="str" cm="1">
        <f t="array" ref="B442">_xlfn.IFS(credit[[#This Row],[Age]]&lt;=25,"18-25",credit[[#This Row],[Age]]&lt;=35,"26-35",credit[[#This Row],[Age]]&lt;=45,"36-45",credit[[#This Row],[Age]]&lt;=60,"46-60",TRUE,"60+")</f>
        <v>36-45</v>
      </c>
      <c r="C442" t="s">
        <v>9</v>
      </c>
      <c r="D442">
        <v>3</v>
      </c>
      <c r="E442" t="s">
        <v>10</v>
      </c>
      <c r="F442" t="s">
        <v>12</v>
      </c>
      <c r="G442" t="s">
        <v>11</v>
      </c>
      <c r="H442">
        <v>1884</v>
      </c>
      <c r="I442">
        <v>12</v>
      </c>
      <c r="J442" t="s">
        <v>19</v>
      </c>
      <c r="K442" t="str">
        <f>IF(AND(credit[[#This Row],[Credit amount]]&gt;9000,credit[[#This Row],[Saving accounts]]="little"),"High","Low")</f>
        <v>Low</v>
      </c>
    </row>
    <row r="443" spans="1:11" x14ac:dyDescent="0.25">
      <c r="A443">
        <v>30</v>
      </c>
      <c r="B443" s="13" t="str" cm="1">
        <f t="array" ref="B443">_xlfn.IFS(credit[[#This Row],[Age]]&lt;=25,"18-25",credit[[#This Row],[Age]]&lt;=35,"26-35",credit[[#This Row],[Age]]&lt;=45,"36-45",credit[[#This Row],[Age]]&lt;=60,"46-60",TRUE,"60+")</f>
        <v>26-35</v>
      </c>
      <c r="C443" t="s">
        <v>14</v>
      </c>
      <c r="D443">
        <v>2</v>
      </c>
      <c r="E443" t="s">
        <v>10</v>
      </c>
      <c r="F443" t="s">
        <v>12</v>
      </c>
      <c r="G443" t="s">
        <v>12</v>
      </c>
      <c r="H443">
        <v>1620</v>
      </c>
      <c r="I443">
        <v>12</v>
      </c>
      <c r="J443" t="s">
        <v>18</v>
      </c>
      <c r="K443" t="str">
        <f>IF(AND(credit[[#This Row],[Credit amount]]&gt;9000,credit[[#This Row],[Saving accounts]]="little"),"High","Low")</f>
        <v>Low</v>
      </c>
    </row>
    <row r="444" spans="1:11" x14ac:dyDescent="0.25">
      <c r="A444">
        <v>29</v>
      </c>
      <c r="B444" s="13" t="str" cm="1">
        <f t="array" ref="B444">_xlfn.IFS(credit[[#This Row],[Age]]&lt;=25,"18-25",credit[[#This Row],[Age]]&lt;=35,"26-35",credit[[#This Row],[Age]]&lt;=45,"36-45",credit[[#This Row],[Age]]&lt;=60,"46-60",TRUE,"60+")</f>
        <v>26-35</v>
      </c>
      <c r="C444" t="s">
        <v>9</v>
      </c>
      <c r="D444">
        <v>2</v>
      </c>
      <c r="E444" t="s">
        <v>10</v>
      </c>
      <c r="F444" t="s">
        <v>12</v>
      </c>
      <c r="G444" t="s">
        <v>15</v>
      </c>
      <c r="H444">
        <v>2629</v>
      </c>
      <c r="I444">
        <v>20</v>
      </c>
      <c r="J444" t="s">
        <v>26</v>
      </c>
      <c r="K444" t="str">
        <f>IF(AND(credit[[#This Row],[Credit amount]]&gt;9000,credit[[#This Row],[Saving accounts]]="little"),"High","Low")</f>
        <v>Low</v>
      </c>
    </row>
    <row r="445" spans="1:11" x14ac:dyDescent="0.25">
      <c r="A445">
        <v>41</v>
      </c>
      <c r="B445" s="13" t="str" cm="1">
        <f t="array" ref="B445">_xlfn.IFS(credit[[#This Row],[Age]]&lt;=25,"18-25",credit[[#This Row],[Age]]&lt;=35,"26-35",credit[[#This Row],[Age]]&lt;=45,"36-45",credit[[#This Row],[Age]]&lt;=60,"46-60",TRUE,"60+")</f>
        <v>36-45</v>
      </c>
      <c r="C445" t="s">
        <v>9</v>
      </c>
      <c r="D445">
        <v>1</v>
      </c>
      <c r="E445" t="s">
        <v>10</v>
      </c>
      <c r="F445" t="s">
        <v>12</v>
      </c>
      <c r="G445" t="s">
        <v>11</v>
      </c>
      <c r="H445">
        <v>719</v>
      </c>
      <c r="I445">
        <v>12</v>
      </c>
      <c r="J445" t="s">
        <v>16</v>
      </c>
      <c r="K445" t="str">
        <f>IF(AND(credit[[#This Row],[Credit amount]]&gt;9000,credit[[#This Row],[Saving accounts]]="little"),"High","Low")</f>
        <v>Low</v>
      </c>
    </row>
    <row r="446" spans="1:11" x14ac:dyDescent="0.25">
      <c r="A446">
        <v>30</v>
      </c>
      <c r="B446" s="13" t="str" cm="1">
        <f t="array" ref="B446">_xlfn.IFS(credit[[#This Row],[Age]]&lt;=25,"18-25",credit[[#This Row],[Age]]&lt;=35,"26-35",credit[[#This Row],[Age]]&lt;=45,"36-45",credit[[#This Row],[Age]]&lt;=60,"46-60",TRUE,"60+")</f>
        <v>26-35</v>
      </c>
      <c r="C446" t="s">
        <v>14</v>
      </c>
      <c r="D446">
        <v>3</v>
      </c>
      <c r="E446" t="s">
        <v>10</v>
      </c>
      <c r="F446" t="s">
        <v>12</v>
      </c>
      <c r="G446" t="s">
        <v>15</v>
      </c>
      <c r="H446">
        <v>5096</v>
      </c>
      <c r="I446">
        <v>48</v>
      </c>
      <c r="J446" t="s">
        <v>18</v>
      </c>
      <c r="K446" t="str">
        <f>IF(AND(credit[[#This Row],[Credit amount]]&gt;9000,credit[[#This Row],[Saving accounts]]="little"),"High","Low")</f>
        <v>Low</v>
      </c>
    </row>
    <row r="447" spans="1:11" x14ac:dyDescent="0.25">
      <c r="A447">
        <v>41</v>
      </c>
      <c r="B447" s="13" t="str" cm="1">
        <f t="array" ref="B447">_xlfn.IFS(credit[[#This Row],[Age]]&lt;=25,"18-25",credit[[#This Row],[Age]]&lt;=35,"26-35",credit[[#This Row],[Age]]&lt;=45,"36-45",credit[[#This Row],[Age]]&lt;=60,"46-60",TRUE,"60+")</f>
        <v>36-45</v>
      </c>
      <c r="C447" t="s">
        <v>14</v>
      </c>
      <c r="D447">
        <v>1</v>
      </c>
      <c r="E447" t="s">
        <v>21</v>
      </c>
      <c r="F447" t="s">
        <v>11</v>
      </c>
      <c r="G447" t="s">
        <v>11</v>
      </c>
      <c r="H447">
        <v>1244</v>
      </c>
      <c r="I447">
        <v>9</v>
      </c>
      <c r="J447" t="s">
        <v>16</v>
      </c>
      <c r="K447" t="str">
        <f>IF(AND(credit[[#This Row],[Credit amount]]&gt;9000,credit[[#This Row],[Saving accounts]]="little"),"High","Low")</f>
        <v>Low</v>
      </c>
    </row>
    <row r="448" spans="1:11" x14ac:dyDescent="0.25">
      <c r="A448">
        <v>34</v>
      </c>
      <c r="B448" s="13" t="str" cm="1">
        <f t="array" ref="B448">_xlfn.IFS(credit[[#This Row],[Age]]&lt;=25,"18-25",credit[[#This Row],[Age]]&lt;=35,"26-35",credit[[#This Row],[Age]]&lt;=45,"36-45",credit[[#This Row],[Age]]&lt;=60,"46-60",TRUE,"60+")</f>
        <v>26-35</v>
      </c>
      <c r="C448" t="s">
        <v>14</v>
      </c>
      <c r="D448">
        <v>2</v>
      </c>
      <c r="E448" t="s">
        <v>10</v>
      </c>
      <c r="F448" t="s">
        <v>12</v>
      </c>
      <c r="G448" t="s">
        <v>12</v>
      </c>
      <c r="H448">
        <v>1842</v>
      </c>
      <c r="I448">
        <v>36</v>
      </c>
      <c r="J448" t="s">
        <v>19</v>
      </c>
      <c r="K448" t="str">
        <f>IF(AND(credit[[#This Row],[Credit amount]]&gt;9000,credit[[#This Row],[Saving accounts]]="little"),"High","Low")</f>
        <v>Low</v>
      </c>
    </row>
    <row r="449" spans="1:11" x14ac:dyDescent="0.25">
      <c r="A449">
        <v>35</v>
      </c>
      <c r="B449" s="13" t="str" cm="1">
        <f t="array" ref="B449">_xlfn.IFS(credit[[#This Row],[Age]]&lt;=25,"18-25",credit[[#This Row],[Age]]&lt;=35,"26-35",credit[[#This Row],[Age]]&lt;=45,"36-45",credit[[#This Row],[Age]]&lt;=60,"46-60",TRUE,"60+")</f>
        <v>26-35</v>
      </c>
      <c r="C449" t="s">
        <v>9</v>
      </c>
      <c r="D449">
        <v>2</v>
      </c>
      <c r="E449" t="s">
        <v>10</v>
      </c>
      <c r="F449" t="s">
        <v>12</v>
      </c>
      <c r="G449" t="s">
        <v>15</v>
      </c>
      <c r="H449">
        <v>2576</v>
      </c>
      <c r="I449">
        <v>7</v>
      </c>
      <c r="J449" t="s">
        <v>13</v>
      </c>
      <c r="K449" t="str">
        <f>IF(AND(credit[[#This Row],[Credit amount]]&gt;9000,credit[[#This Row],[Saving accounts]]="little"),"High","Low")</f>
        <v>Low</v>
      </c>
    </row>
    <row r="450" spans="1:11" x14ac:dyDescent="0.25">
      <c r="A450">
        <v>55</v>
      </c>
      <c r="B450" s="13" t="str" cm="1">
        <f t="array" ref="B450">_xlfn.IFS(credit[[#This Row],[Age]]&lt;=25,"18-25",credit[[#This Row],[Age]]&lt;=35,"26-35",credit[[#This Row],[Age]]&lt;=45,"36-45",credit[[#This Row],[Age]]&lt;=60,"46-60",TRUE,"60+")</f>
        <v>46-60</v>
      </c>
      <c r="C450" t="s">
        <v>14</v>
      </c>
      <c r="D450">
        <v>3</v>
      </c>
      <c r="E450" t="s">
        <v>10</v>
      </c>
      <c r="F450" t="s">
        <v>11</v>
      </c>
      <c r="G450" t="s">
        <v>22</v>
      </c>
      <c r="H450">
        <v>1424</v>
      </c>
      <c r="I450">
        <v>12</v>
      </c>
      <c r="J450" t="s">
        <v>18</v>
      </c>
      <c r="K450" t="str">
        <f>IF(AND(credit[[#This Row],[Credit amount]]&gt;9000,credit[[#This Row],[Saving accounts]]="little"),"High","Low")</f>
        <v>Low</v>
      </c>
    </row>
    <row r="451" spans="1:11" x14ac:dyDescent="0.25">
      <c r="A451">
        <v>61</v>
      </c>
      <c r="B451" s="13" t="str" cm="1">
        <f t="array" ref="B451">_xlfn.IFS(credit[[#This Row],[Age]]&lt;=25,"18-25",credit[[#This Row],[Age]]&lt;=35,"26-35",credit[[#This Row],[Age]]&lt;=45,"36-45",credit[[#This Row],[Age]]&lt;=60,"46-60",TRUE,"60+")</f>
        <v>60+</v>
      </c>
      <c r="C451" t="s">
        <v>9</v>
      </c>
      <c r="D451">
        <v>2</v>
      </c>
      <c r="E451" t="s">
        <v>10</v>
      </c>
      <c r="F451" t="s">
        <v>22</v>
      </c>
      <c r="G451" t="s">
        <v>15</v>
      </c>
      <c r="H451">
        <v>1512</v>
      </c>
      <c r="I451">
        <v>15</v>
      </c>
      <c r="J451" t="s">
        <v>25</v>
      </c>
      <c r="K451" t="str">
        <f>IF(AND(credit[[#This Row],[Credit amount]]&gt;9000,credit[[#This Row],[Saving accounts]]="little"),"High","Low")</f>
        <v>Low</v>
      </c>
    </row>
    <row r="452" spans="1:11" x14ac:dyDescent="0.25">
      <c r="A452">
        <v>30</v>
      </c>
      <c r="B452" s="13" t="str" cm="1">
        <f t="array" ref="B452">_xlfn.IFS(credit[[#This Row],[Age]]&lt;=25,"18-25",credit[[#This Row],[Age]]&lt;=35,"26-35",credit[[#This Row],[Age]]&lt;=45,"36-45",credit[[#This Row],[Age]]&lt;=60,"46-60",TRUE,"60+")</f>
        <v>26-35</v>
      </c>
      <c r="C452" t="s">
        <v>9</v>
      </c>
      <c r="D452">
        <v>3</v>
      </c>
      <c r="E452" t="s">
        <v>10</v>
      </c>
      <c r="F452" t="s">
        <v>11</v>
      </c>
      <c r="G452" t="s">
        <v>11</v>
      </c>
      <c r="H452">
        <v>11054</v>
      </c>
      <c r="I452">
        <v>36</v>
      </c>
      <c r="J452" t="s">
        <v>19</v>
      </c>
      <c r="K452" t="str">
        <f>IF(AND(credit[[#This Row],[Credit amount]]&gt;9000,credit[[#This Row],[Saving accounts]]="little"),"High","Low")</f>
        <v>Low</v>
      </c>
    </row>
    <row r="453" spans="1:11" x14ac:dyDescent="0.25">
      <c r="A453">
        <v>29</v>
      </c>
      <c r="B453" s="13" t="str" cm="1">
        <f t="array" ref="B453">_xlfn.IFS(credit[[#This Row],[Age]]&lt;=25,"18-25",credit[[#This Row],[Age]]&lt;=35,"26-35",credit[[#This Row],[Age]]&lt;=45,"36-45",credit[[#This Row],[Age]]&lt;=60,"46-60",TRUE,"60+")</f>
        <v>26-35</v>
      </c>
      <c r="C453" t="s">
        <v>14</v>
      </c>
      <c r="D453">
        <v>2</v>
      </c>
      <c r="E453" t="s">
        <v>10</v>
      </c>
      <c r="F453" t="s">
        <v>12</v>
      </c>
      <c r="G453" t="s">
        <v>11</v>
      </c>
      <c r="H453">
        <v>518</v>
      </c>
      <c r="I453">
        <v>6</v>
      </c>
      <c r="J453" t="s">
        <v>13</v>
      </c>
      <c r="K453" t="str">
        <f>IF(AND(credit[[#This Row],[Credit amount]]&gt;9000,credit[[#This Row],[Saving accounts]]="little"),"High","Low")</f>
        <v>Low</v>
      </c>
    </row>
    <row r="454" spans="1:11" x14ac:dyDescent="0.25">
      <c r="A454">
        <v>34</v>
      </c>
      <c r="B454" s="13" t="str" cm="1">
        <f t="array" ref="B454">_xlfn.IFS(credit[[#This Row],[Age]]&lt;=25,"18-25",credit[[#This Row],[Age]]&lt;=35,"26-35",credit[[#This Row],[Age]]&lt;=45,"36-45",credit[[#This Row],[Age]]&lt;=60,"46-60",TRUE,"60+")</f>
        <v>26-35</v>
      </c>
      <c r="C454" t="s">
        <v>9</v>
      </c>
      <c r="D454">
        <v>2</v>
      </c>
      <c r="E454" t="s">
        <v>10</v>
      </c>
      <c r="F454" t="s">
        <v>12</v>
      </c>
      <c r="G454" t="s">
        <v>11</v>
      </c>
      <c r="H454">
        <v>2759</v>
      </c>
      <c r="I454">
        <v>12</v>
      </c>
      <c r="J454" t="s">
        <v>18</v>
      </c>
      <c r="K454" t="str">
        <f>IF(AND(credit[[#This Row],[Credit amount]]&gt;9000,credit[[#This Row],[Saving accounts]]="little"),"High","Low")</f>
        <v>Low</v>
      </c>
    </row>
    <row r="455" spans="1:11" x14ac:dyDescent="0.25">
      <c r="A455">
        <v>35</v>
      </c>
      <c r="B455" s="13" t="str" cm="1">
        <f t="array" ref="B455">_xlfn.IFS(credit[[#This Row],[Age]]&lt;=25,"18-25",credit[[#This Row],[Age]]&lt;=35,"26-35",credit[[#This Row],[Age]]&lt;=45,"36-45",credit[[#This Row],[Age]]&lt;=60,"46-60",TRUE,"60+")</f>
        <v>26-35</v>
      </c>
      <c r="C455" t="s">
        <v>9</v>
      </c>
      <c r="D455">
        <v>3</v>
      </c>
      <c r="E455" t="s">
        <v>10</v>
      </c>
      <c r="F455" t="s">
        <v>12</v>
      </c>
      <c r="G455" t="s">
        <v>11</v>
      </c>
      <c r="H455">
        <v>2670</v>
      </c>
      <c r="I455">
        <v>24</v>
      </c>
      <c r="J455" t="s">
        <v>19</v>
      </c>
      <c r="K455" t="str">
        <f>IF(AND(credit[[#This Row],[Credit amount]]&gt;9000,credit[[#This Row],[Saving accounts]]="little"),"High","Low")</f>
        <v>Low</v>
      </c>
    </row>
    <row r="456" spans="1:11" x14ac:dyDescent="0.25">
      <c r="A456">
        <v>31</v>
      </c>
      <c r="B456" s="13" t="str" cm="1">
        <f t="array" ref="B456">_xlfn.IFS(credit[[#This Row],[Age]]&lt;=25,"18-25",credit[[#This Row],[Age]]&lt;=35,"26-35",credit[[#This Row],[Age]]&lt;=45,"36-45",credit[[#This Row],[Age]]&lt;=60,"46-60",TRUE,"60+")</f>
        <v>26-35</v>
      </c>
      <c r="C456" t="s">
        <v>9</v>
      </c>
      <c r="D456">
        <v>2</v>
      </c>
      <c r="E456" t="s">
        <v>10</v>
      </c>
      <c r="F456" t="s">
        <v>12</v>
      </c>
      <c r="G456" t="s">
        <v>12</v>
      </c>
      <c r="H456">
        <v>4817</v>
      </c>
      <c r="I456">
        <v>24</v>
      </c>
      <c r="J456" t="s">
        <v>19</v>
      </c>
      <c r="K456" t="str">
        <f>IF(AND(credit[[#This Row],[Credit amount]]&gt;9000,credit[[#This Row],[Saving accounts]]="little"),"High","Low")</f>
        <v>Low</v>
      </c>
    </row>
    <row r="457" spans="1:11" x14ac:dyDescent="0.25">
      <c r="A457">
        <v>29</v>
      </c>
      <c r="B457" s="13" t="str" cm="1">
        <f t="array" ref="B457">_xlfn.IFS(credit[[#This Row],[Age]]&lt;=25,"18-25",credit[[#This Row],[Age]]&lt;=35,"26-35",credit[[#This Row],[Age]]&lt;=45,"36-45",credit[[#This Row],[Age]]&lt;=60,"46-60",TRUE,"60+")</f>
        <v>26-35</v>
      </c>
      <c r="C457" t="s">
        <v>14</v>
      </c>
      <c r="D457">
        <v>3</v>
      </c>
      <c r="E457" t="s">
        <v>10</v>
      </c>
      <c r="F457" t="s">
        <v>12</v>
      </c>
      <c r="G457" t="s">
        <v>11</v>
      </c>
      <c r="H457">
        <v>2679</v>
      </c>
      <c r="I457">
        <v>24</v>
      </c>
      <c r="J457" t="s">
        <v>19</v>
      </c>
      <c r="K457" t="str">
        <f>IF(AND(credit[[#This Row],[Credit amount]]&gt;9000,credit[[#This Row],[Saving accounts]]="little"),"High","Low")</f>
        <v>Low</v>
      </c>
    </row>
    <row r="458" spans="1:11" x14ac:dyDescent="0.25">
      <c r="A458">
        <v>36</v>
      </c>
      <c r="B458" s="13" t="str" cm="1">
        <f t="array" ref="B458">_xlfn.IFS(credit[[#This Row],[Age]]&lt;=25,"18-25",credit[[#This Row],[Age]]&lt;=35,"26-35",credit[[#This Row],[Age]]&lt;=45,"36-45",credit[[#This Row],[Age]]&lt;=60,"46-60",TRUE,"60+")</f>
        <v>36-45</v>
      </c>
      <c r="C458" t="s">
        <v>9</v>
      </c>
      <c r="D458">
        <v>2</v>
      </c>
      <c r="E458" t="s">
        <v>21</v>
      </c>
      <c r="F458" t="s">
        <v>12</v>
      </c>
      <c r="G458" t="s">
        <v>12</v>
      </c>
      <c r="H458">
        <v>3905</v>
      </c>
      <c r="I458">
        <v>11</v>
      </c>
      <c r="J458" t="s">
        <v>19</v>
      </c>
      <c r="K458" t="str">
        <f>IF(AND(credit[[#This Row],[Credit amount]]&gt;9000,credit[[#This Row],[Saving accounts]]="little"),"High","Low")</f>
        <v>Low</v>
      </c>
    </row>
    <row r="459" spans="1:11" x14ac:dyDescent="0.25">
      <c r="A459">
        <v>35</v>
      </c>
      <c r="B459" s="13" t="str" cm="1">
        <f t="array" ref="B459">_xlfn.IFS(credit[[#This Row],[Age]]&lt;=25,"18-25",credit[[#This Row],[Age]]&lt;=35,"26-35",credit[[#This Row],[Age]]&lt;=45,"36-45",credit[[#This Row],[Age]]&lt;=60,"46-60",TRUE,"60+")</f>
        <v>26-35</v>
      </c>
      <c r="C459" t="s">
        <v>9</v>
      </c>
      <c r="D459">
        <v>2</v>
      </c>
      <c r="E459" t="s">
        <v>17</v>
      </c>
      <c r="F459" t="s">
        <v>12</v>
      </c>
      <c r="G459" t="s">
        <v>12</v>
      </c>
      <c r="H459">
        <v>3386</v>
      </c>
      <c r="I459">
        <v>12</v>
      </c>
      <c r="J459" t="s">
        <v>19</v>
      </c>
      <c r="K459" t="str">
        <f>IF(AND(credit[[#This Row],[Credit amount]]&gt;9000,credit[[#This Row],[Saving accounts]]="little"),"High","Low")</f>
        <v>Low</v>
      </c>
    </row>
    <row r="460" spans="1:11" x14ac:dyDescent="0.25">
      <c r="A460">
        <v>27</v>
      </c>
      <c r="B460" s="13" t="str" cm="1">
        <f t="array" ref="B460">_xlfn.IFS(credit[[#This Row],[Age]]&lt;=25,"18-25",credit[[#This Row],[Age]]&lt;=35,"26-35",credit[[#This Row],[Age]]&lt;=45,"36-45",credit[[#This Row],[Age]]&lt;=60,"46-60",TRUE,"60+")</f>
        <v>26-35</v>
      </c>
      <c r="C460" t="s">
        <v>14</v>
      </c>
      <c r="D460">
        <v>2</v>
      </c>
      <c r="E460" t="s">
        <v>10</v>
      </c>
      <c r="F460" t="s">
        <v>12</v>
      </c>
      <c r="G460" t="s">
        <v>12</v>
      </c>
      <c r="H460">
        <v>343</v>
      </c>
      <c r="I460">
        <v>6</v>
      </c>
      <c r="J460" t="s">
        <v>24</v>
      </c>
      <c r="K460" t="str">
        <f>IF(AND(credit[[#This Row],[Credit amount]]&gt;9000,credit[[#This Row],[Saving accounts]]="little"),"High","Low")</f>
        <v>Low</v>
      </c>
    </row>
    <row r="461" spans="1:11" x14ac:dyDescent="0.25">
      <c r="A461">
        <v>32</v>
      </c>
      <c r="B461" s="13" t="str" cm="1">
        <f t="array" ref="B461">_xlfn.IFS(credit[[#This Row],[Age]]&lt;=25,"18-25",credit[[#This Row],[Age]]&lt;=35,"26-35",credit[[#This Row],[Age]]&lt;=45,"36-45",credit[[#This Row],[Age]]&lt;=60,"46-60",TRUE,"60+")</f>
        <v>26-35</v>
      </c>
      <c r="C461" t="s">
        <v>9</v>
      </c>
      <c r="D461">
        <v>2</v>
      </c>
      <c r="E461" t="s">
        <v>10</v>
      </c>
      <c r="F461" t="s">
        <v>12</v>
      </c>
      <c r="G461" t="s">
        <v>11</v>
      </c>
      <c r="H461">
        <v>4594</v>
      </c>
      <c r="I461">
        <v>18</v>
      </c>
      <c r="J461" t="s">
        <v>13</v>
      </c>
      <c r="K461" t="str">
        <f>IF(AND(credit[[#This Row],[Credit amount]]&gt;9000,credit[[#This Row],[Saving accounts]]="little"),"High","Low")</f>
        <v>Low</v>
      </c>
    </row>
    <row r="462" spans="1:11" x14ac:dyDescent="0.25">
      <c r="A462">
        <v>37</v>
      </c>
      <c r="B462" s="13" t="str" cm="1">
        <f t="array" ref="B462">_xlfn.IFS(credit[[#This Row],[Age]]&lt;=25,"18-25",credit[[#This Row],[Age]]&lt;=35,"26-35",credit[[#This Row],[Age]]&lt;=45,"36-45",credit[[#This Row],[Age]]&lt;=60,"46-60",TRUE,"60+")</f>
        <v>36-45</v>
      </c>
      <c r="C462" t="s">
        <v>9</v>
      </c>
      <c r="D462">
        <v>2</v>
      </c>
      <c r="E462" t="s">
        <v>10</v>
      </c>
      <c r="F462" t="s">
        <v>12</v>
      </c>
      <c r="G462" t="s">
        <v>12</v>
      </c>
      <c r="H462">
        <v>3620</v>
      </c>
      <c r="I462">
        <v>36</v>
      </c>
      <c r="J462" t="s">
        <v>18</v>
      </c>
      <c r="K462" t="str">
        <f>IF(AND(credit[[#This Row],[Credit amount]]&gt;9000,credit[[#This Row],[Saving accounts]]="little"),"High","Low")</f>
        <v>Low</v>
      </c>
    </row>
    <row r="463" spans="1:11" x14ac:dyDescent="0.25">
      <c r="A463">
        <v>36</v>
      </c>
      <c r="B463" s="13" t="str" cm="1">
        <f t="array" ref="B463">_xlfn.IFS(credit[[#This Row],[Age]]&lt;=25,"18-25",credit[[#This Row],[Age]]&lt;=35,"26-35",credit[[#This Row],[Age]]&lt;=45,"36-45",credit[[#This Row],[Age]]&lt;=60,"46-60",TRUE,"60+")</f>
        <v>36-45</v>
      </c>
      <c r="C463" t="s">
        <v>9</v>
      </c>
      <c r="D463">
        <v>2</v>
      </c>
      <c r="E463" t="s">
        <v>10</v>
      </c>
      <c r="F463" t="s">
        <v>12</v>
      </c>
      <c r="G463" t="s">
        <v>12</v>
      </c>
      <c r="H463">
        <v>1721</v>
      </c>
      <c r="I463">
        <v>15</v>
      </c>
      <c r="J463" t="s">
        <v>19</v>
      </c>
      <c r="K463" t="str">
        <f>IF(AND(credit[[#This Row],[Credit amount]]&gt;9000,credit[[#This Row],[Saving accounts]]="little"),"High","Low")</f>
        <v>Low</v>
      </c>
    </row>
    <row r="464" spans="1:11" x14ac:dyDescent="0.25">
      <c r="A464">
        <v>34</v>
      </c>
      <c r="B464" s="13" t="str" cm="1">
        <f t="array" ref="B464">_xlfn.IFS(credit[[#This Row],[Age]]&lt;=25,"18-25",credit[[#This Row],[Age]]&lt;=35,"26-35",credit[[#This Row],[Age]]&lt;=45,"36-45",credit[[#This Row],[Age]]&lt;=60,"46-60",TRUE,"60+")</f>
        <v>26-35</v>
      </c>
      <c r="C464" t="s">
        <v>14</v>
      </c>
      <c r="D464">
        <v>3</v>
      </c>
      <c r="E464" t="s">
        <v>21</v>
      </c>
      <c r="F464" t="s">
        <v>12</v>
      </c>
      <c r="G464" t="s">
        <v>15</v>
      </c>
      <c r="H464">
        <v>3017</v>
      </c>
      <c r="I464">
        <v>12</v>
      </c>
      <c r="J464" t="s">
        <v>18</v>
      </c>
      <c r="K464" t="str">
        <f>IF(AND(credit[[#This Row],[Credit amount]]&gt;9000,credit[[#This Row],[Saving accounts]]="little"),"High","Low")</f>
        <v>Low</v>
      </c>
    </row>
    <row r="465" spans="1:11" x14ac:dyDescent="0.25">
      <c r="A465">
        <v>38</v>
      </c>
      <c r="B465" s="13" t="str" cm="1">
        <f t="array" ref="B465">_xlfn.IFS(credit[[#This Row],[Age]]&lt;=25,"18-25",credit[[#This Row],[Age]]&lt;=35,"26-35",credit[[#This Row],[Age]]&lt;=45,"36-45",credit[[#This Row],[Age]]&lt;=60,"46-60",TRUE,"60+")</f>
        <v>36-45</v>
      </c>
      <c r="C465" t="s">
        <v>9</v>
      </c>
      <c r="D465">
        <v>2</v>
      </c>
      <c r="E465" t="s">
        <v>10</v>
      </c>
      <c r="F465" t="s">
        <v>11</v>
      </c>
      <c r="G465" t="s">
        <v>15</v>
      </c>
      <c r="H465">
        <v>754</v>
      </c>
      <c r="I465">
        <v>12</v>
      </c>
      <c r="J465" t="s">
        <v>16</v>
      </c>
      <c r="K465" t="str">
        <f>IF(AND(credit[[#This Row],[Credit amount]]&gt;9000,credit[[#This Row],[Saving accounts]]="little"),"High","Low")</f>
        <v>Low</v>
      </c>
    </row>
    <row r="466" spans="1:11" x14ac:dyDescent="0.25">
      <c r="A466">
        <v>34</v>
      </c>
      <c r="B466" s="13" t="str" cm="1">
        <f t="array" ref="B466">_xlfn.IFS(credit[[#This Row],[Age]]&lt;=25,"18-25",credit[[#This Row],[Age]]&lt;=35,"26-35",credit[[#This Row],[Age]]&lt;=45,"36-45",credit[[#This Row],[Age]]&lt;=60,"46-60",TRUE,"60+")</f>
        <v>26-35</v>
      </c>
      <c r="C466" t="s">
        <v>9</v>
      </c>
      <c r="D466">
        <v>2</v>
      </c>
      <c r="E466" t="s">
        <v>10</v>
      </c>
      <c r="F466" t="s">
        <v>12</v>
      </c>
      <c r="G466" t="s">
        <v>11</v>
      </c>
      <c r="H466">
        <v>1950</v>
      </c>
      <c r="I466">
        <v>18</v>
      </c>
      <c r="J466" t="s">
        <v>23</v>
      </c>
      <c r="K466" t="str">
        <f>IF(AND(credit[[#This Row],[Credit amount]]&gt;9000,credit[[#This Row],[Saving accounts]]="little"),"High","Low")</f>
        <v>Low</v>
      </c>
    </row>
    <row r="467" spans="1:11" x14ac:dyDescent="0.25">
      <c r="A467">
        <v>63</v>
      </c>
      <c r="B467" s="13" t="str" cm="1">
        <f t="array" ref="B467">_xlfn.IFS(credit[[#This Row],[Age]]&lt;=25,"18-25",credit[[#This Row],[Age]]&lt;=35,"26-35",credit[[#This Row],[Age]]&lt;=45,"36-45",credit[[#This Row],[Age]]&lt;=60,"46-60",TRUE,"60+")</f>
        <v>60+</v>
      </c>
      <c r="C467" t="s">
        <v>9</v>
      </c>
      <c r="D467">
        <v>2</v>
      </c>
      <c r="E467" t="s">
        <v>10</v>
      </c>
      <c r="F467" t="s">
        <v>12</v>
      </c>
      <c r="G467" t="s">
        <v>12</v>
      </c>
      <c r="H467">
        <v>2924</v>
      </c>
      <c r="I467">
        <v>24</v>
      </c>
      <c r="J467" t="s">
        <v>19</v>
      </c>
      <c r="K467" t="str">
        <f>IF(AND(credit[[#This Row],[Credit amount]]&gt;9000,credit[[#This Row],[Saving accounts]]="little"),"High","Low")</f>
        <v>Low</v>
      </c>
    </row>
    <row r="468" spans="1:11" x14ac:dyDescent="0.25">
      <c r="A468">
        <v>29</v>
      </c>
      <c r="B468" s="13" t="str" cm="1">
        <f t="array" ref="B468">_xlfn.IFS(credit[[#This Row],[Age]]&lt;=25,"18-25",credit[[#This Row],[Age]]&lt;=35,"26-35",credit[[#This Row],[Age]]&lt;=45,"36-45",credit[[#This Row],[Age]]&lt;=60,"46-60",TRUE,"60+")</f>
        <v>26-35</v>
      </c>
      <c r="C468" t="s">
        <v>14</v>
      </c>
      <c r="D468">
        <v>1</v>
      </c>
      <c r="E468" t="s">
        <v>21</v>
      </c>
      <c r="F468" t="s">
        <v>12</v>
      </c>
      <c r="G468" t="s">
        <v>12</v>
      </c>
      <c r="H468">
        <v>1659</v>
      </c>
      <c r="I468">
        <v>24</v>
      </c>
      <c r="J468" t="s">
        <v>13</v>
      </c>
      <c r="K468" t="str">
        <f>IF(AND(credit[[#This Row],[Credit amount]]&gt;9000,credit[[#This Row],[Saving accounts]]="little"),"High","Low")</f>
        <v>Low</v>
      </c>
    </row>
    <row r="469" spans="1:11" x14ac:dyDescent="0.25">
      <c r="A469">
        <v>32</v>
      </c>
      <c r="B469" s="13" t="str" cm="1">
        <f t="array" ref="B469">_xlfn.IFS(credit[[#This Row],[Age]]&lt;=25,"18-25",credit[[#This Row],[Age]]&lt;=35,"26-35",credit[[#This Row],[Age]]&lt;=45,"36-45",credit[[#This Row],[Age]]&lt;=60,"46-60",TRUE,"60+")</f>
        <v>26-35</v>
      </c>
      <c r="C469" t="s">
        <v>9</v>
      </c>
      <c r="D469">
        <v>2</v>
      </c>
      <c r="E469" t="s">
        <v>10</v>
      </c>
      <c r="F469" t="s">
        <v>11</v>
      </c>
      <c r="G469" t="s">
        <v>11</v>
      </c>
      <c r="H469">
        <v>7238</v>
      </c>
      <c r="I469">
        <v>48</v>
      </c>
      <c r="J469" t="s">
        <v>13</v>
      </c>
      <c r="K469" t="str">
        <f>IF(AND(credit[[#This Row],[Credit amount]]&gt;9000,credit[[#This Row],[Saving accounts]]="little"),"High","Low")</f>
        <v>Low</v>
      </c>
    </row>
    <row r="470" spans="1:11" x14ac:dyDescent="0.25">
      <c r="A470">
        <v>26</v>
      </c>
      <c r="B470" s="13" t="str" cm="1">
        <f t="array" ref="B470">_xlfn.IFS(credit[[#This Row],[Age]]&lt;=25,"18-25",credit[[#This Row],[Age]]&lt;=35,"26-35",credit[[#This Row],[Age]]&lt;=45,"36-45",credit[[#This Row],[Age]]&lt;=60,"46-60",TRUE,"60+")</f>
        <v>26-35</v>
      </c>
      <c r="C470" t="s">
        <v>14</v>
      </c>
      <c r="D470">
        <v>2</v>
      </c>
      <c r="E470" t="s">
        <v>10</v>
      </c>
      <c r="F470" t="s">
        <v>12</v>
      </c>
      <c r="G470" t="s">
        <v>11</v>
      </c>
      <c r="H470">
        <v>2764</v>
      </c>
      <c r="I470">
        <v>33</v>
      </c>
      <c r="J470" t="s">
        <v>23</v>
      </c>
      <c r="K470" t="str">
        <f>IF(AND(credit[[#This Row],[Credit amount]]&gt;9000,credit[[#This Row],[Saving accounts]]="little"),"High","Low")</f>
        <v>Low</v>
      </c>
    </row>
    <row r="471" spans="1:11" x14ac:dyDescent="0.25">
      <c r="A471">
        <v>35</v>
      </c>
      <c r="B471" s="13" t="str" cm="1">
        <f t="array" ref="B471">_xlfn.IFS(credit[[#This Row],[Age]]&lt;=25,"18-25",credit[[#This Row],[Age]]&lt;=35,"26-35",credit[[#This Row],[Age]]&lt;=45,"36-45",credit[[#This Row],[Age]]&lt;=60,"46-60",TRUE,"60+")</f>
        <v>26-35</v>
      </c>
      <c r="C471" t="s">
        <v>9</v>
      </c>
      <c r="D471">
        <v>1</v>
      </c>
      <c r="E471" t="s">
        <v>10</v>
      </c>
      <c r="F471" t="s">
        <v>12</v>
      </c>
      <c r="G471" t="s">
        <v>11</v>
      </c>
      <c r="H471">
        <v>4679</v>
      </c>
      <c r="I471">
        <v>24</v>
      </c>
      <c r="J471" t="s">
        <v>19</v>
      </c>
      <c r="K471" t="str">
        <f>IF(AND(credit[[#This Row],[Credit amount]]&gt;9000,credit[[#This Row],[Saving accounts]]="little"),"High","Low")</f>
        <v>Low</v>
      </c>
    </row>
    <row r="472" spans="1:11" x14ac:dyDescent="0.25">
      <c r="A472">
        <v>22</v>
      </c>
      <c r="B472" s="13" t="str" cm="1">
        <f t="array" ref="B472">_xlfn.IFS(credit[[#This Row],[Age]]&lt;=25,"18-25",credit[[#This Row],[Age]]&lt;=35,"26-35",credit[[#This Row],[Age]]&lt;=45,"36-45",credit[[#This Row],[Age]]&lt;=60,"46-60",TRUE,"60+")</f>
        <v>18-25</v>
      </c>
      <c r="C472" t="s">
        <v>9</v>
      </c>
      <c r="D472">
        <v>2</v>
      </c>
      <c r="E472" t="s">
        <v>21</v>
      </c>
      <c r="F472" t="s">
        <v>15</v>
      </c>
      <c r="G472" t="s">
        <v>15</v>
      </c>
      <c r="H472">
        <v>3092</v>
      </c>
      <c r="I472">
        <v>24</v>
      </c>
      <c r="J472" t="s">
        <v>13</v>
      </c>
      <c r="K472" t="str">
        <f>IF(AND(credit[[#This Row],[Credit amount]]&gt;9000,credit[[#This Row],[Saving accounts]]="little"),"High","Low")</f>
        <v>Low</v>
      </c>
    </row>
    <row r="473" spans="1:11" x14ac:dyDescent="0.25">
      <c r="A473">
        <v>23</v>
      </c>
      <c r="B473" s="13" t="str" cm="1">
        <f t="array" ref="B473">_xlfn.IFS(credit[[#This Row],[Age]]&lt;=25,"18-25",credit[[#This Row],[Age]]&lt;=35,"26-35",credit[[#This Row],[Age]]&lt;=45,"36-45",credit[[#This Row],[Age]]&lt;=60,"46-60",TRUE,"60+")</f>
        <v>18-25</v>
      </c>
      <c r="C473" t="s">
        <v>14</v>
      </c>
      <c r="D473">
        <v>2</v>
      </c>
      <c r="E473" t="s">
        <v>10</v>
      </c>
      <c r="F473" t="s">
        <v>12</v>
      </c>
      <c r="G473" t="s">
        <v>12</v>
      </c>
      <c r="H473">
        <v>448</v>
      </c>
      <c r="I473">
        <v>6</v>
      </c>
      <c r="J473" t="s">
        <v>16</v>
      </c>
      <c r="K473" t="str">
        <f>IF(AND(credit[[#This Row],[Credit amount]]&gt;9000,credit[[#This Row],[Saving accounts]]="little"),"High","Low")</f>
        <v>Low</v>
      </c>
    </row>
    <row r="474" spans="1:11" x14ac:dyDescent="0.25">
      <c r="A474">
        <v>28</v>
      </c>
      <c r="B474" s="13" t="str" cm="1">
        <f t="array" ref="B474">_xlfn.IFS(credit[[#This Row],[Age]]&lt;=25,"18-25",credit[[#This Row],[Age]]&lt;=35,"26-35",credit[[#This Row],[Age]]&lt;=45,"36-45",credit[[#This Row],[Age]]&lt;=60,"46-60",TRUE,"60+")</f>
        <v>26-35</v>
      </c>
      <c r="C474" t="s">
        <v>9</v>
      </c>
      <c r="D474">
        <v>1</v>
      </c>
      <c r="E474" t="s">
        <v>10</v>
      </c>
      <c r="F474" t="s">
        <v>12</v>
      </c>
      <c r="G474" t="s">
        <v>12</v>
      </c>
      <c r="H474">
        <v>654</v>
      </c>
      <c r="I474">
        <v>9</v>
      </c>
      <c r="J474" t="s">
        <v>19</v>
      </c>
      <c r="K474" t="str">
        <f>IF(AND(credit[[#This Row],[Credit amount]]&gt;9000,credit[[#This Row],[Saving accounts]]="little"),"High","Low")</f>
        <v>Low</v>
      </c>
    </row>
    <row r="475" spans="1:11" x14ac:dyDescent="0.25">
      <c r="A475">
        <v>36</v>
      </c>
      <c r="B475" s="13" t="str" cm="1">
        <f t="array" ref="B475">_xlfn.IFS(credit[[#This Row],[Age]]&lt;=25,"18-25",credit[[#This Row],[Age]]&lt;=35,"26-35",credit[[#This Row],[Age]]&lt;=45,"36-45",credit[[#This Row],[Age]]&lt;=60,"46-60",TRUE,"60+")</f>
        <v>36-45</v>
      </c>
      <c r="C475" t="s">
        <v>9</v>
      </c>
      <c r="D475">
        <v>3</v>
      </c>
      <c r="E475" t="s">
        <v>10</v>
      </c>
      <c r="F475" t="s">
        <v>11</v>
      </c>
      <c r="G475" t="s">
        <v>11</v>
      </c>
      <c r="H475">
        <v>1238</v>
      </c>
      <c r="I475">
        <v>6</v>
      </c>
      <c r="J475" t="s">
        <v>16</v>
      </c>
      <c r="K475" t="str">
        <f>IF(AND(credit[[#This Row],[Credit amount]]&gt;9000,credit[[#This Row],[Saving accounts]]="little"),"High","Low")</f>
        <v>Low</v>
      </c>
    </row>
    <row r="476" spans="1:11" x14ac:dyDescent="0.25">
      <c r="A476">
        <v>33</v>
      </c>
      <c r="B476" s="13" t="str" cm="1">
        <f t="array" ref="B476">_xlfn.IFS(credit[[#This Row],[Age]]&lt;=25,"18-25",credit[[#This Row],[Age]]&lt;=35,"26-35",credit[[#This Row],[Age]]&lt;=45,"36-45",credit[[#This Row],[Age]]&lt;=60,"46-60",TRUE,"60+")</f>
        <v>26-35</v>
      </c>
      <c r="C476" t="s">
        <v>9</v>
      </c>
      <c r="D476">
        <v>2</v>
      </c>
      <c r="E476" t="s">
        <v>10</v>
      </c>
      <c r="F476" t="s">
        <v>12</v>
      </c>
      <c r="G476" t="s">
        <v>15</v>
      </c>
      <c r="H476">
        <v>1245</v>
      </c>
      <c r="I476">
        <v>18</v>
      </c>
      <c r="J476" t="s">
        <v>13</v>
      </c>
      <c r="K476" t="str">
        <f>IF(AND(credit[[#This Row],[Credit amount]]&gt;9000,credit[[#This Row],[Saving accounts]]="little"),"High","Low")</f>
        <v>Low</v>
      </c>
    </row>
    <row r="477" spans="1:11" x14ac:dyDescent="0.25">
      <c r="A477">
        <v>26</v>
      </c>
      <c r="B477" s="13" t="str" cm="1">
        <f t="array" ref="B477">_xlfn.IFS(credit[[#This Row],[Age]]&lt;=25,"18-25",credit[[#This Row],[Age]]&lt;=35,"26-35",credit[[#This Row],[Age]]&lt;=45,"36-45",credit[[#This Row],[Age]]&lt;=60,"46-60",TRUE,"60+")</f>
        <v>26-35</v>
      </c>
      <c r="C477" t="s">
        <v>14</v>
      </c>
      <c r="D477">
        <v>2</v>
      </c>
      <c r="E477" t="s">
        <v>21</v>
      </c>
      <c r="F477" t="s">
        <v>12</v>
      </c>
      <c r="G477" t="s">
        <v>12</v>
      </c>
      <c r="H477">
        <v>3114</v>
      </c>
      <c r="I477">
        <v>18</v>
      </c>
      <c r="J477" t="s">
        <v>18</v>
      </c>
      <c r="K477" t="str">
        <f>IF(AND(credit[[#This Row],[Credit amount]]&gt;9000,credit[[#This Row],[Saving accounts]]="little"),"High","Low")</f>
        <v>Low</v>
      </c>
    </row>
    <row r="478" spans="1:11" x14ac:dyDescent="0.25">
      <c r="A478">
        <v>24</v>
      </c>
      <c r="B478" s="13" t="str" cm="1">
        <f t="array" ref="B478">_xlfn.IFS(credit[[#This Row],[Age]]&lt;=25,"18-25",credit[[#This Row],[Age]]&lt;=35,"26-35",credit[[#This Row],[Age]]&lt;=45,"36-45",credit[[#This Row],[Age]]&lt;=60,"46-60",TRUE,"60+")</f>
        <v>18-25</v>
      </c>
      <c r="C478" t="s">
        <v>9</v>
      </c>
      <c r="D478">
        <v>2</v>
      </c>
      <c r="E478" t="s">
        <v>10</v>
      </c>
      <c r="F478" t="s">
        <v>20</v>
      </c>
      <c r="G478" t="s">
        <v>11</v>
      </c>
      <c r="H478">
        <v>2569</v>
      </c>
      <c r="I478">
        <v>39</v>
      </c>
      <c r="J478" t="s">
        <v>19</v>
      </c>
      <c r="K478" t="str">
        <f>IF(AND(credit[[#This Row],[Credit amount]]&gt;9000,credit[[#This Row],[Saving accounts]]="little"),"High","Low")</f>
        <v>Low</v>
      </c>
    </row>
    <row r="479" spans="1:11" x14ac:dyDescent="0.25">
      <c r="A479">
        <v>25</v>
      </c>
      <c r="B479" s="13" t="str" cm="1">
        <f t="array" ref="B479">_xlfn.IFS(credit[[#This Row],[Age]]&lt;=25,"18-25",credit[[#This Row],[Age]]&lt;=35,"26-35",credit[[#This Row],[Age]]&lt;=45,"36-45",credit[[#This Row],[Age]]&lt;=60,"46-60",TRUE,"60+")</f>
        <v>18-25</v>
      </c>
      <c r="C479" t="s">
        <v>9</v>
      </c>
      <c r="D479">
        <v>2</v>
      </c>
      <c r="E479" t="s">
        <v>10</v>
      </c>
      <c r="F479" t="s">
        <v>12</v>
      </c>
      <c r="G479" t="s">
        <v>22</v>
      </c>
      <c r="H479">
        <v>5152</v>
      </c>
      <c r="I479">
        <v>24</v>
      </c>
      <c r="J479" t="s">
        <v>13</v>
      </c>
      <c r="K479" t="str">
        <f>IF(AND(credit[[#This Row],[Credit amount]]&gt;9000,credit[[#This Row],[Saving accounts]]="little"),"High","Low")</f>
        <v>Low</v>
      </c>
    </row>
    <row r="480" spans="1:11" x14ac:dyDescent="0.25">
      <c r="A480">
        <v>39</v>
      </c>
      <c r="B480" s="13" t="str" cm="1">
        <f t="array" ref="B480">_xlfn.IFS(credit[[#This Row],[Age]]&lt;=25,"18-25",credit[[#This Row],[Age]]&lt;=35,"26-35",credit[[#This Row],[Age]]&lt;=45,"36-45",credit[[#This Row],[Age]]&lt;=60,"46-60",TRUE,"60+")</f>
        <v>36-45</v>
      </c>
      <c r="C480" t="s">
        <v>9</v>
      </c>
      <c r="D480">
        <v>1</v>
      </c>
      <c r="E480" t="s">
        <v>10</v>
      </c>
      <c r="F480" t="s">
        <v>15</v>
      </c>
      <c r="G480" t="s">
        <v>15</v>
      </c>
      <c r="H480">
        <v>1037</v>
      </c>
      <c r="I480">
        <v>12</v>
      </c>
      <c r="J480" t="s">
        <v>23</v>
      </c>
      <c r="K480" t="str">
        <f>IF(AND(credit[[#This Row],[Credit amount]]&gt;9000,credit[[#This Row],[Saving accounts]]="little"),"High","Low")</f>
        <v>Low</v>
      </c>
    </row>
    <row r="481" spans="1:11" x14ac:dyDescent="0.25">
      <c r="A481">
        <v>44</v>
      </c>
      <c r="B481" s="13" t="str" cm="1">
        <f t="array" ref="B481">_xlfn.IFS(credit[[#This Row],[Age]]&lt;=25,"18-25",credit[[#This Row],[Age]]&lt;=35,"26-35",credit[[#This Row],[Age]]&lt;=45,"36-45",credit[[#This Row],[Age]]&lt;=60,"46-60",TRUE,"60+")</f>
        <v>36-45</v>
      </c>
      <c r="C481" t="s">
        <v>9</v>
      </c>
      <c r="D481">
        <v>2</v>
      </c>
      <c r="E481" t="s">
        <v>10</v>
      </c>
      <c r="F481" t="s">
        <v>12</v>
      </c>
      <c r="G481" t="s">
        <v>12</v>
      </c>
      <c r="H481">
        <v>1478</v>
      </c>
      <c r="I481">
        <v>15</v>
      </c>
      <c r="J481" t="s">
        <v>18</v>
      </c>
      <c r="K481" t="str">
        <f>IF(AND(credit[[#This Row],[Credit amount]]&gt;9000,credit[[#This Row],[Saving accounts]]="little"),"High","Low")</f>
        <v>Low</v>
      </c>
    </row>
    <row r="482" spans="1:11" x14ac:dyDescent="0.25">
      <c r="A482">
        <v>23</v>
      </c>
      <c r="B482" s="13" t="str" cm="1">
        <f t="array" ref="B482">_xlfn.IFS(credit[[#This Row],[Age]]&lt;=25,"18-25",credit[[#This Row],[Age]]&lt;=35,"26-35",credit[[#This Row],[Age]]&lt;=45,"36-45",credit[[#This Row],[Age]]&lt;=60,"46-60",TRUE,"60+")</f>
        <v>18-25</v>
      </c>
      <c r="C482" t="s">
        <v>14</v>
      </c>
      <c r="D482">
        <v>1</v>
      </c>
      <c r="E482" t="s">
        <v>10</v>
      </c>
      <c r="F482" t="s">
        <v>12</v>
      </c>
      <c r="G482" t="s">
        <v>15</v>
      </c>
      <c r="H482">
        <v>3573</v>
      </c>
      <c r="I482">
        <v>12</v>
      </c>
      <c r="J482" t="s">
        <v>13</v>
      </c>
      <c r="K482" t="str">
        <f>IF(AND(credit[[#This Row],[Credit amount]]&gt;9000,credit[[#This Row],[Saving accounts]]="little"),"High","Low")</f>
        <v>Low</v>
      </c>
    </row>
    <row r="483" spans="1:11" x14ac:dyDescent="0.25">
      <c r="A483">
        <v>26</v>
      </c>
      <c r="B483" s="13" t="str" cm="1">
        <f t="array" ref="B483">_xlfn.IFS(credit[[#This Row],[Age]]&lt;=25,"18-25",credit[[#This Row],[Age]]&lt;=35,"26-35",credit[[#This Row],[Age]]&lt;=45,"36-45",credit[[#This Row],[Age]]&lt;=60,"46-60",TRUE,"60+")</f>
        <v>26-35</v>
      </c>
      <c r="C483" t="s">
        <v>9</v>
      </c>
      <c r="D483">
        <v>2</v>
      </c>
      <c r="E483" t="s">
        <v>10</v>
      </c>
      <c r="F483" t="s">
        <v>12</v>
      </c>
      <c r="G483" t="s">
        <v>15</v>
      </c>
      <c r="H483">
        <v>1201</v>
      </c>
      <c r="I483">
        <v>24</v>
      </c>
      <c r="J483" t="s">
        <v>19</v>
      </c>
      <c r="K483" t="str">
        <f>IF(AND(credit[[#This Row],[Credit amount]]&gt;9000,credit[[#This Row],[Saving accounts]]="little"),"High","Low")</f>
        <v>Low</v>
      </c>
    </row>
    <row r="484" spans="1:11" x14ac:dyDescent="0.25">
      <c r="A484">
        <v>57</v>
      </c>
      <c r="B484" s="13" t="str" cm="1">
        <f t="array" ref="B484">_xlfn.IFS(credit[[#This Row],[Age]]&lt;=25,"18-25",credit[[#This Row],[Age]]&lt;=35,"26-35",credit[[#This Row],[Age]]&lt;=45,"36-45",credit[[#This Row],[Age]]&lt;=60,"46-60",TRUE,"60+")</f>
        <v>46-60</v>
      </c>
      <c r="C484" t="s">
        <v>14</v>
      </c>
      <c r="D484">
        <v>2</v>
      </c>
      <c r="E484" t="s">
        <v>21</v>
      </c>
      <c r="F484" t="s">
        <v>22</v>
      </c>
      <c r="G484" t="s">
        <v>12</v>
      </c>
      <c r="H484">
        <v>3622</v>
      </c>
      <c r="I484">
        <v>30</v>
      </c>
      <c r="J484" t="s">
        <v>18</v>
      </c>
      <c r="K484" t="str">
        <f>IF(AND(credit[[#This Row],[Credit amount]]&gt;9000,credit[[#This Row],[Saving accounts]]="little"),"High","Low")</f>
        <v>Low</v>
      </c>
    </row>
    <row r="485" spans="1:11" x14ac:dyDescent="0.25">
      <c r="A485">
        <v>30</v>
      </c>
      <c r="B485" s="13" t="str" cm="1">
        <f t="array" ref="B485">_xlfn.IFS(credit[[#This Row],[Age]]&lt;=25,"18-25",credit[[#This Row],[Age]]&lt;=35,"26-35",credit[[#This Row],[Age]]&lt;=45,"36-45",credit[[#This Row],[Age]]&lt;=60,"46-60",TRUE,"60+")</f>
        <v>26-35</v>
      </c>
      <c r="C485" t="s">
        <v>14</v>
      </c>
      <c r="D485">
        <v>2</v>
      </c>
      <c r="E485" t="s">
        <v>10</v>
      </c>
      <c r="F485" t="s">
        <v>22</v>
      </c>
      <c r="G485" t="s">
        <v>11</v>
      </c>
      <c r="H485">
        <v>960</v>
      </c>
      <c r="I485">
        <v>15</v>
      </c>
      <c r="J485" t="s">
        <v>18</v>
      </c>
      <c r="K485" t="str">
        <f>IF(AND(credit[[#This Row],[Credit amount]]&gt;9000,credit[[#This Row],[Saving accounts]]="little"),"High","Low")</f>
        <v>Low</v>
      </c>
    </row>
    <row r="486" spans="1:11" x14ac:dyDescent="0.25">
      <c r="A486">
        <v>44</v>
      </c>
      <c r="B486" s="13" t="str" cm="1">
        <f t="array" ref="B486">_xlfn.IFS(credit[[#This Row],[Age]]&lt;=25,"18-25",credit[[#This Row],[Age]]&lt;=35,"26-35",credit[[#This Row],[Age]]&lt;=45,"36-45",credit[[#This Row],[Age]]&lt;=60,"46-60",TRUE,"60+")</f>
        <v>36-45</v>
      </c>
      <c r="C486" t="s">
        <v>9</v>
      </c>
      <c r="D486">
        <v>2</v>
      </c>
      <c r="E486" t="s">
        <v>10</v>
      </c>
      <c r="F486" t="s">
        <v>20</v>
      </c>
      <c r="G486" t="s">
        <v>11</v>
      </c>
      <c r="H486">
        <v>1163</v>
      </c>
      <c r="I486">
        <v>12</v>
      </c>
      <c r="J486" t="s">
        <v>19</v>
      </c>
      <c r="K486" t="str">
        <f>IF(AND(credit[[#This Row],[Credit amount]]&gt;9000,credit[[#This Row],[Saving accounts]]="little"),"High","Low")</f>
        <v>Low</v>
      </c>
    </row>
    <row r="487" spans="1:11" x14ac:dyDescent="0.25">
      <c r="A487">
        <v>47</v>
      </c>
      <c r="B487" s="13" t="str" cm="1">
        <f t="array" ref="B487">_xlfn.IFS(credit[[#This Row],[Age]]&lt;=25,"18-25",credit[[#This Row],[Age]]&lt;=35,"26-35",credit[[#This Row],[Age]]&lt;=45,"36-45",credit[[#This Row],[Age]]&lt;=60,"46-60",TRUE,"60+")</f>
        <v>46-60</v>
      </c>
      <c r="C487" t="s">
        <v>9</v>
      </c>
      <c r="D487">
        <v>3</v>
      </c>
      <c r="E487" t="s">
        <v>10</v>
      </c>
      <c r="F487" t="s">
        <v>12</v>
      </c>
      <c r="G487" t="s">
        <v>15</v>
      </c>
      <c r="H487">
        <v>1209</v>
      </c>
      <c r="I487">
        <v>6</v>
      </c>
      <c r="J487" t="s">
        <v>19</v>
      </c>
      <c r="K487" t="str">
        <f>IF(AND(credit[[#This Row],[Credit amount]]&gt;9000,credit[[#This Row],[Saving accounts]]="little"),"High","Low")</f>
        <v>Low</v>
      </c>
    </row>
    <row r="488" spans="1:11" x14ac:dyDescent="0.25">
      <c r="A488">
        <v>52</v>
      </c>
      <c r="B488" s="13" t="str" cm="1">
        <f t="array" ref="B488">_xlfn.IFS(credit[[#This Row],[Age]]&lt;=25,"18-25",credit[[#This Row],[Age]]&lt;=35,"26-35",credit[[#This Row],[Age]]&lt;=45,"36-45",credit[[#This Row],[Age]]&lt;=60,"46-60",TRUE,"60+")</f>
        <v>46-60</v>
      </c>
      <c r="C488" t="s">
        <v>9</v>
      </c>
      <c r="D488">
        <v>2</v>
      </c>
      <c r="E488" t="s">
        <v>10</v>
      </c>
      <c r="F488" t="s">
        <v>12</v>
      </c>
      <c r="G488" t="s">
        <v>11</v>
      </c>
      <c r="H488">
        <v>3077</v>
      </c>
      <c r="I488">
        <v>12</v>
      </c>
      <c r="J488" t="s">
        <v>13</v>
      </c>
      <c r="K488" t="str">
        <f>IF(AND(credit[[#This Row],[Credit amount]]&gt;9000,credit[[#This Row],[Saving accounts]]="little"),"High","Low")</f>
        <v>Low</v>
      </c>
    </row>
    <row r="489" spans="1:11" x14ac:dyDescent="0.25">
      <c r="A489">
        <v>62</v>
      </c>
      <c r="B489" s="13" t="str" cm="1">
        <f t="array" ref="B489">_xlfn.IFS(credit[[#This Row],[Age]]&lt;=25,"18-25",credit[[#This Row],[Age]]&lt;=35,"26-35",credit[[#This Row],[Age]]&lt;=45,"36-45",credit[[#This Row],[Age]]&lt;=60,"46-60",TRUE,"60+")</f>
        <v>60+</v>
      </c>
      <c r="C489" t="s">
        <v>14</v>
      </c>
      <c r="D489">
        <v>2</v>
      </c>
      <c r="E489" t="s">
        <v>17</v>
      </c>
      <c r="F489" t="s">
        <v>12</v>
      </c>
      <c r="G489" t="s">
        <v>11</v>
      </c>
      <c r="H489">
        <v>3757</v>
      </c>
      <c r="I489">
        <v>24</v>
      </c>
      <c r="J489" t="s">
        <v>19</v>
      </c>
      <c r="K489" t="str">
        <f>IF(AND(credit[[#This Row],[Credit amount]]&gt;9000,credit[[#This Row],[Saving accounts]]="little"),"High","Low")</f>
        <v>Low</v>
      </c>
    </row>
    <row r="490" spans="1:11" x14ac:dyDescent="0.25">
      <c r="A490">
        <v>35</v>
      </c>
      <c r="B490" s="13" t="str" cm="1">
        <f t="array" ref="B490">_xlfn.IFS(credit[[#This Row],[Age]]&lt;=25,"18-25",credit[[#This Row],[Age]]&lt;=35,"26-35",credit[[#This Row],[Age]]&lt;=45,"36-45",credit[[#This Row],[Age]]&lt;=60,"46-60",TRUE,"60+")</f>
        <v>26-35</v>
      </c>
      <c r="C490" t="s">
        <v>9</v>
      </c>
      <c r="D490">
        <v>1</v>
      </c>
      <c r="E490" t="s">
        <v>21</v>
      </c>
      <c r="F490" t="s">
        <v>15</v>
      </c>
      <c r="G490" t="s">
        <v>11</v>
      </c>
      <c r="H490">
        <v>1418</v>
      </c>
      <c r="I490">
        <v>10</v>
      </c>
      <c r="J490" t="s">
        <v>19</v>
      </c>
      <c r="K490" t="str">
        <f>IF(AND(credit[[#This Row],[Credit amount]]&gt;9000,credit[[#This Row],[Saving accounts]]="little"),"High","Low")</f>
        <v>Low</v>
      </c>
    </row>
    <row r="491" spans="1:11" x14ac:dyDescent="0.25">
      <c r="A491">
        <v>26</v>
      </c>
      <c r="B491" s="13" t="str" cm="1">
        <f t="array" ref="B491">_xlfn.IFS(credit[[#This Row],[Age]]&lt;=25,"18-25",credit[[#This Row],[Age]]&lt;=35,"26-35",credit[[#This Row],[Age]]&lt;=45,"36-45",credit[[#This Row],[Age]]&lt;=60,"46-60",TRUE,"60+")</f>
        <v>26-35</v>
      </c>
      <c r="C491" t="s">
        <v>9</v>
      </c>
      <c r="D491">
        <v>2</v>
      </c>
      <c r="E491" t="s">
        <v>21</v>
      </c>
      <c r="F491" t="s">
        <v>12</v>
      </c>
      <c r="G491" t="s">
        <v>11</v>
      </c>
      <c r="H491">
        <v>3518</v>
      </c>
      <c r="I491">
        <v>6</v>
      </c>
      <c r="J491" t="s">
        <v>19</v>
      </c>
      <c r="K491" t="str">
        <f>IF(AND(credit[[#This Row],[Credit amount]]&gt;9000,credit[[#This Row],[Saving accounts]]="little"),"High","Low")</f>
        <v>Low</v>
      </c>
    </row>
    <row r="492" spans="1:11" x14ac:dyDescent="0.25">
      <c r="A492">
        <v>26</v>
      </c>
      <c r="B492" s="13" t="str" cm="1">
        <f t="array" ref="B492">_xlfn.IFS(credit[[#This Row],[Age]]&lt;=25,"18-25",credit[[#This Row],[Age]]&lt;=35,"26-35",credit[[#This Row],[Age]]&lt;=45,"36-45",credit[[#This Row],[Age]]&lt;=60,"46-60",TRUE,"60+")</f>
        <v>26-35</v>
      </c>
      <c r="C492" t="s">
        <v>9</v>
      </c>
      <c r="D492">
        <v>2</v>
      </c>
      <c r="E492" t="s">
        <v>10</v>
      </c>
      <c r="F492" t="s">
        <v>12</v>
      </c>
      <c r="G492" t="s">
        <v>11</v>
      </c>
      <c r="H492">
        <v>1934</v>
      </c>
      <c r="I492">
        <v>12</v>
      </c>
      <c r="J492" t="s">
        <v>13</v>
      </c>
      <c r="K492" t="str">
        <f>IF(AND(credit[[#This Row],[Credit amount]]&gt;9000,credit[[#This Row],[Saving accounts]]="little"),"High","Low")</f>
        <v>Low</v>
      </c>
    </row>
    <row r="493" spans="1:11" x14ac:dyDescent="0.25">
      <c r="A493">
        <v>42</v>
      </c>
      <c r="B493" s="13" t="str" cm="1">
        <f t="array" ref="B493">_xlfn.IFS(credit[[#This Row],[Age]]&lt;=25,"18-25",credit[[#This Row],[Age]]&lt;=35,"26-35",credit[[#This Row],[Age]]&lt;=45,"36-45",credit[[#This Row],[Age]]&lt;=60,"46-60",TRUE,"60+")</f>
        <v>36-45</v>
      </c>
      <c r="C493" t="s">
        <v>14</v>
      </c>
      <c r="D493">
        <v>3</v>
      </c>
      <c r="E493" t="s">
        <v>17</v>
      </c>
      <c r="F493" t="s">
        <v>12</v>
      </c>
      <c r="G493" t="s">
        <v>15</v>
      </c>
      <c r="H493">
        <v>8318</v>
      </c>
      <c r="I493">
        <v>27</v>
      </c>
      <c r="J493" t="s">
        <v>23</v>
      </c>
      <c r="K493" t="str">
        <f>IF(AND(credit[[#This Row],[Credit amount]]&gt;9000,credit[[#This Row],[Saving accounts]]="little"),"High","Low")</f>
        <v>Low</v>
      </c>
    </row>
    <row r="494" spans="1:11" x14ac:dyDescent="0.25">
      <c r="A494">
        <v>27</v>
      </c>
      <c r="B494" s="13" t="str" cm="1">
        <f t="array" ref="B494">_xlfn.IFS(credit[[#This Row],[Age]]&lt;=25,"18-25",credit[[#This Row],[Age]]&lt;=35,"26-35",credit[[#This Row],[Age]]&lt;=45,"36-45",credit[[#This Row],[Age]]&lt;=60,"46-60",TRUE,"60+")</f>
        <v>26-35</v>
      </c>
      <c r="C494" t="s">
        <v>14</v>
      </c>
      <c r="D494">
        <v>2</v>
      </c>
      <c r="E494" t="s">
        <v>10</v>
      </c>
      <c r="F494" t="s">
        <v>15</v>
      </c>
      <c r="G494" t="s">
        <v>11</v>
      </c>
      <c r="H494">
        <v>1237</v>
      </c>
      <c r="I494">
        <v>6</v>
      </c>
      <c r="J494" t="s">
        <v>13</v>
      </c>
      <c r="K494" t="str">
        <f>IF(AND(credit[[#This Row],[Credit amount]]&gt;9000,credit[[#This Row],[Saving accounts]]="little"),"High","Low")</f>
        <v>Low</v>
      </c>
    </row>
    <row r="495" spans="1:11" x14ac:dyDescent="0.25">
      <c r="A495">
        <v>38</v>
      </c>
      <c r="B495" s="13" t="str" cm="1">
        <f t="array" ref="B495">_xlfn.IFS(credit[[#This Row],[Age]]&lt;=25,"18-25",credit[[#This Row],[Age]]&lt;=35,"26-35",credit[[#This Row],[Age]]&lt;=45,"36-45",credit[[#This Row],[Age]]&lt;=60,"46-60",TRUE,"60+")</f>
        <v>36-45</v>
      </c>
      <c r="C495" t="s">
        <v>9</v>
      </c>
      <c r="D495">
        <v>2</v>
      </c>
      <c r="E495" t="s">
        <v>10</v>
      </c>
      <c r="F495" t="s">
        <v>11</v>
      </c>
      <c r="G495" t="s">
        <v>15</v>
      </c>
      <c r="H495">
        <v>368</v>
      </c>
      <c r="I495">
        <v>6</v>
      </c>
      <c r="J495" t="s">
        <v>13</v>
      </c>
      <c r="K495" t="str">
        <f>IF(AND(credit[[#This Row],[Credit amount]]&gt;9000,credit[[#This Row],[Saving accounts]]="little"),"High","Low")</f>
        <v>Low</v>
      </c>
    </row>
    <row r="496" spans="1:11" x14ac:dyDescent="0.25">
      <c r="A496">
        <v>39</v>
      </c>
      <c r="B496" s="13" t="str" cm="1">
        <f t="array" ref="B496">_xlfn.IFS(credit[[#This Row],[Age]]&lt;=25,"18-25",credit[[#This Row],[Age]]&lt;=35,"26-35",credit[[#This Row],[Age]]&lt;=45,"36-45",credit[[#This Row],[Age]]&lt;=60,"46-60",TRUE,"60+")</f>
        <v>36-45</v>
      </c>
      <c r="C496" t="s">
        <v>9</v>
      </c>
      <c r="D496">
        <v>1</v>
      </c>
      <c r="E496" t="s">
        <v>21</v>
      </c>
      <c r="F496" t="s">
        <v>12</v>
      </c>
      <c r="G496" t="s">
        <v>12</v>
      </c>
      <c r="H496">
        <v>2122</v>
      </c>
      <c r="I496">
        <v>12</v>
      </c>
      <c r="J496" t="s">
        <v>19</v>
      </c>
      <c r="K496" t="str">
        <f>IF(AND(credit[[#This Row],[Credit amount]]&gt;9000,credit[[#This Row],[Saving accounts]]="little"),"High","Low")</f>
        <v>Low</v>
      </c>
    </row>
    <row r="497" spans="1:11" x14ac:dyDescent="0.25">
      <c r="A497">
        <v>20</v>
      </c>
      <c r="B497" s="13" t="str" cm="1">
        <f t="array" ref="B497">_xlfn.IFS(credit[[#This Row],[Age]]&lt;=25,"18-25",credit[[#This Row],[Age]]&lt;=35,"26-35",credit[[#This Row],[Age]]&lt;=45,"36-45",credit[[#This Row],[Age]]&lt;=60,"46-60",TRUE,"60+")</f>
        <v>18-25</v>
      </c>
      <c r="C497" t="s">
        <v>9</v>
      </c>
      <c r="D497">
        <v>2</v>
      </c>
      <c r="E497" t="s">
        <v>10</v>
      </c>
      <c r="F497" t="s">
        <v>11</v>
      </c>
      <c r="G497" t="s">
        <v>12</v>
      </c>
      <c r="H497">
        <v>2996</v>
      </c>
      <c r="I497">
        <v>24</v>
      </c>
      <c r="J497" t="s">
        <v>18</v>
      </c>
      <c r="K497" t="str">
        <f>IF(AND(credit[[#This Row],[Credit amount]]&gt;9000,credit[[#This Row],[Saving accounts]]="little"),"High","Low")</f>
        <v>Low</v>
      </c>
    </row>
    <row r="498" spans="1:11" x14ac:dyDescent="0.25">
      <c r="A498">
        <v>29</v>
      </c>
      <c r="B498" s="13" t="str" cm="1">
        <f t="array" ref="B498">_xlfn.IFS(credit[[#This Row],[Age]]&lt;=25,"18-25",credit[[#This Row],[Age]]&lt;=35,"26-35",credit[[#This Row],[Age]]&lt;=45,"36-45",credit[[#This Row],[Age]]&lt;=60,"46-60",TRUE,"60+")</f>
        <v>26-35</v>
      </c>
      <c r="C498" t="s">
        <v>9</v>
      </c>
      <c r="D498">
        <v>3</v>
      </c>
      <c r="E498" t="s">
        <v>21</v>
      </c>
      <c r="F498" t="s">
        <v>15</v>
      </c>
      <c r="G498" t="s">
        <v>15</v>
      </c>
      <c r="H498">
        <v>9034</v>
      </c>
      <c r="I498">
        <v>36</v>
      </c>
      <c r="J498" t="s">
        <v>18</v>
      </c>
      <c r="K498" t="str">
        <f>IF(AND(credit[[#This Row],[Credit amount]]&gt;9000,credit[[#This Row],[Saving accounts]]="little"),"High","Low")</f>
        <v>Low</v>
      </c>
    </row>
    <row r="499" spans="1:11" x14ac:dyDescent="0.25">
      <c r="A499">
        <v>40</v>
      </c>
      <c r="B499" s="13" t="str" cm="1">
        <f t="array" ref="B499">_xlfn.IFS(credit[[#This Row],[Age]]&lt;=25,"18-25",credit[[#This Row],[Age]]&lt;=35,"26-35",credit[[#This Row],[Age]]&lt;=45,"36-45",credit[[#This Row],[Age]]&lt;=60,"46-60",TRUE,"60+")</f>
        <v>36-45</v>
      </c>
      <c r="C499" t="s">
        <v>9</v>
      </c>
      <c r="D499">
        <v>2</v>
      </c>
      <c r="E499" t="s">
        <v>10</v>
      </c>
      <c r="F499" t="s">
        <v>12</v>
      </c>
      <c r="G499" t="s">
        <v>11</v>
      </c>
      <c r="H499">
        <v>1585</v>
      </c>
      <c r="I499">
        <v>24</v>
      </c>
      <c r="J499" t="s">
        <v>18</v>
      </c>
      <c r="K499" t="str">
        <f>IF(AND(credit[[#This Row],[Credit amount]]&gt;9000,credit[[#This Row],[Saving accounts]]="little"),"High","Low")</f>
        <v>Low</v>
      </c>
    </row>
    <row r="500" spans="1:11" x14ac:dyDescent="0.25">
      <c r="A500">
        <v>32</v>
      </c>
      <c r="B500" s="13" t="str" cm="1">
        <f t="array" ref="B500">_xlfn.IFS(credit[[#This Row],[Age]]&lt;=25,"18-25",credit[[#This Row],[Age]]&lt;=35,"26-35",credit[[#This Row],[Age]]&lt;=45,"36-45",credit[[#This Row],[Age]]&lt;=60,"46-60",TRUE,"60+")</f>
        <v>26-35</v>
      </c>
      <c r="C500" t="s">
        <v>9</v>
      </c>
      <c r="D500">
        <v>1</v>
      </c>
      <c r="E500" t="s">
        <v>10</v>
      </c>
      <c r="F500" t="s">
        <v>12</v>
      </c>
      <c r="G500" t="s">
        <v>15</v>
      </c>
      <c r="H500">
        <v>1301</v>
      </c>
      <c r="I500">
        <v>18</v>
      </c>
      <c r="J500" t="s">
        <v>13</v>
      </c>
      <c r="K500" t="str">
        <f>IF(AND(credit[[#This Row],[Credit amount]]&gt;9000,credit[[#This Row],[Saving accounts]]="little"),"High","Low")</f>
        <v>Low</v>
      </c>
    </row>
    <row r="501" spans="1:11" x14ac:dyDescent="0.25">
      <c r="A501">
        <v>28</v>
      </c>
      <c r="B501" s="13" t="str" cm="1">
        <f t="array" ref="B501">_xlfn.IFS(credit[[#This Row],[Age]]&lt;=25,"18-25",credit[[#This Row],[Age]]&lt;=35,"26-35",credit[[#This Row],[Age]]&lt;=45,"36-45",credit[[#This Row],[Age]]&lt;=60,"46-60",TRUE,"60+")</f>
        <v>26-35</v>
      </c>
      <c r="C501" t="s">
        <v>9</v>
      </c>
      <c r="D501">
        <v>2</v>
      </c>
      <c r="E501" t="s">
        <v>10</v>
      </c>
      <c r="F501" t="s">
        <v>15</v>
      </c>
      <c r="G501" t="s">
        <v>22</v>
      </c>
      <c r="H501">
        <v>1323</v>
      </c>
      <c r="I501">
        <v>6</v>
      </c>
      <c r="J501" t="s">
        <v>19</v>
      </c>
      <c r="K501" t="str">
        <f>IF(AND(credit[[#This Row],[Credit amount]]&gt;9000,credit[[#This Row],[Saving accounts]]="little"),"High","Low")</f>
        <v>Low</v>
      </c>
    </row>
    <row r="502" spans="1:11" x14ac:dyDescent="0.25">
      <c r="A502">
        <v>27</v>
      </c>
      <c r="B502" s="13" t="str" cm="1">
        <f t="array" ref="B502">_xlfn.IFS(credit[[#This Row],[Age]]&lt;=25,"18-25",credit[[#This Row],[Age]]&lt;=35,"26-35",credit[[#This Row],[Age]]&lt;=45,"36-45",credit[[#This Row],[Age]]&lt;=60,"46-60",TRUE,"60+")</f>
        <v>26-35</v>
      </c>
      <c r="C502" t="s">
        <v>14</v>
      </c>
      <c r="D502">
        <v>2</v>
      </c>
      <c r="E502" t="s">
        <v>10</v>
      </c>
      <c r="F502" t="s">
        <v>12</v>
      </c>
      <c r="G502" t="s">
        <v>12</v>
      </c>
      <c r="H502">
        <v>3123</v>
      </c>
      <c r="I502">
        <v>24</v>
      </c>
      <c r="J502" t="s">
        <v>19</v>
      </c>
      <c r="K502" t="str">
        <f>IF(AND(credit[[#This Row],[Credit amount]]&gt;9000,credit[[#This Row],[Saving accounts]]="little"),"High","Low")</f>
        <v>Low</v>
      </c>
    </row>
    <row r="503" spans="1:11" x14ac:dyDescent="0.25">
      <c r="A503">
        <v>42</v>
      </c>
      <c r="B503" s="13" t="str" cm="1">
        <f t="array" ref="B503">_xlfn.IFS(credit[[#This Row],[Age]]&lt;=25,"18-25",credit[[#This Row],[Age]]&lt;=35,"26-35",credit[[#This Row],[Age]]&lt;=45,"36-45",credit[[#This Row],[Age]]&lt;=60,"46-60",TRUE,"60+")</f>
        <v>36-45</v>
      </c>
      <c r="C503" t="s">
        <v>9</v>
      </c>
      <c r="D503">
        <v>2</v>
      </c>
      <c r="E503" t="s">
        <v>17</v>
      </c>
      <c r="F503" t="s">
        <v>12</v>
      </c>
      <c r="G503" t="s">
        <v>12</v>
      </c>
      <c r="H503">
        <v>5493</v>
      </c>
      <c r="I503">
        <v>36</v>
      </c>
      <c r="J503" t="s">
        <v>19</v>
      </c>
      <c r="K503" t="str">
        <f>IF(AND(credit[[#This Row],[Credit amount]]&gt;9000,credit[[#This Row],[Saving accounts]]="little"),"High","Low")</f>
        <v>Low</v>
      </c>
    </row>
    <row r="504" spans="1:11" x14ac:dyDescent="0.25">
      <c r="A504">
        <v>49</v>
      </c>
      <c r="B504" s="13" t="str" cm="1">
        <f t="array" ref="B504">_xlfn.IFS(credit[[#This Row],[Age]]&lt;=25,"18-25",credit[[#This Row],[Age]]&lt;=35,"26-35",credit[[#This Row],[Age]]&lt;=45,"36-45",credit[[#This Row],[Age]]&lt;=60,"46-60",TRUE,"60+")</f>
        <v>46-60</v>
      </c>
      <c r="C504" t="s">
        <v>9</v>
      </c>
      <c r="D504">
        <v>2</v>
      </c>
      <c r="E504" t="s">
        <v>10</v>
      </c>
      <c r="F504" t="s">
        <v>15</v>
      </c>
      <c r="G504" t="s">
        <v>22</v>
      </c>
      <c r="H504">
        <v>1126</v>
      </c>
      <c r="I504">
        <v>9</v>
      </c>
      <c r="J504" t="s">
        <v>13</v>
      </c>
      <c r="K504" t="str">
        <f>IF(AND(credit[[#This Row],[Credit amount]]&gt;9000,credit[[#This Row],[Saving accounts]]="little"),"High","Low")</f>
        <v>Low</v>
      </c>
    </row>
    <row r="505" spans="1:11" x14ac:dyDescent="0.25">
      <c r="A505">
        <v>38</v>
      </c>
      <c r="B505" s="13" t="str" cm="1">
        <f t="array" ref="B505">_xlfn.IFS(credit[[#This Row],[Age]]&lt;=25,"18-25",credit[[#This Row],[Age]]&lt;=35,"26-35",credit[[#This Row],[Age]]&lt;=45,"36-45",credit[[#This Row],[Age]]&lt;=60,"46-60",TRUE,"60+")</f>
        <v>36-45</v>
      </c>
      <c r="C505" t="s">
        <v>9</v>
      </c>
      <c r="D505">
        <v>2</v>
      </c>
      <c r="E505" t="s">
        <v>10</v>
      </c>
      <c r="F505" t="s">
        <v>15</v>
      </c>
      <c r="G505" t="s">
        <v>15</v>
      </c>
      <c r="H505">
        <v>1216</v>
      </c>
      <c r="I505">
        <v>24</v>
      </c>
      <c r="J505" t="s">
        <v>13</v>
      </c>
      <c r="K505" t="str">
        <f>IF(AND(credit[[#This Row],[Credit amount]]&gt;9000,credit[[#This Row],[Saving accounts]]="little"),"High","Low")</f>
        <v>Low</v>
      </c>
    </row>
    <row r="506" spans="1:11" x14ac:dyDescent="0.25">
      <c r="A506">
        <v>24</v>
      </c>
      <c r="B506" s="13" t="str" cm="1">
        <f t="array" ref="B506">_xlfn.IFS(credit[[#This Row],[Age]]&lt;=25,"18-25",credit[[#This Row],[Age]]&lt;=35,"26-35",credit[[#This Row],[Age]]&lt;=45,"36-45",credit[[#This Row],[Age]]&lt;=60,"46-60",TRUE,"60+")</f>
        <v>18-25</v>
      </c>
      <c r="C506" t="s">
        <v>14</v>
      </c>
      <c r="D506">
        <v>2</v>
      </c>
      <c r="E506" t="s">
        <v>21</v>
      </c>
      <c r="F506" t="s">
        <v>12</v>
      </c>
      <c r="G506" t="s">
        <v>12</v>
      </c>
      <c r="H506">
        <v>1207</v>
      </c>
      <c r="I506">
        <v>24</v>
      </c>
      <c r="J506" t="s">
        <v>19</v>
      </c>
      <c r="K506" t="str">
        <f>IF(AND(credit[[#This Row],[Credit amount]]&gt;9000,credit[[#This Row],[Saving accounts]]="little"),"High","Low")</f>
        <v>Low</v>
      </c>
    </row>
    <row r="507" spans="1:11" x14ac:dyDescent="0.25">
      <c r="A507">
        <v>27</v>
      </c>
      <c r="B507" s="13" t="str" cm="1">
        <f t="array" ref="B507">_xlfn.IFS(credit[[#This Row],[Age]]&lt;=25,"18-25",credit[[#This Row],[Age]]&lt;=35,"26-35",credit[[#This Row],[Age]]&lt;=45,"36-45",credit[[#This Row],[Age]]&lt;=60,"46-60",TRUE,"60+")</f>
        <v>26-35</v>
      </c>
      <c r="C507" t="s">
        <v>9</v>
      </c>
      <c r="D507">
        <v>1</v>
      </c>
      <c r="E507" t="s">
        <v>10</v>
      </c>
      <c r="F507" t="s">
        <v>11</v>
      </c>
      <c r="G507" t="s">
        <v>11</v>
      </c>
      <c r="H507">
        <v>1309</v>
      </c>
      <c r="I507">
        <v>10</v>
      </c>
      <c r="J507" t="s">
        <v>19</v>
      </c>
      <c r="K507" t="str">
        <f>IF(AND(credit[[#This Row],[Credit amount]]&gt;9000,credit[[#This Row],[Saving accounts]]="little"),"High","Low")</f>
        <v>Low</v>
      </c>
    </row>
    <row r="508" spans="1:11" x14ac:dyDescent="0.25">
      <c r="A508">
        <v>36</v>
      </c>
      <c r="B508" s="13" t="str" cm="1">
        <f t="array" ref="B508">_xlfn.IFS(credit[[#This Row],[Age]]&lt;=25,"18-25",credit[[#This Row],[Age]]&lt;=35,"26-35",credit[[#This Row],[Age]]&lt;=45,"36-45",credit[[#This Row],[Age]]&lt;=60,"46-60",TRUE,"60+")</f>
        <v>36-45</v>
      </c>
      <c r="C508" t="s">
        <v>9</v>
      </c>
      <c r="D508">
        <v>2</v>
      </c>
      <c r="E508" t="s">
        <v>10</v>
      </c>
      <c r="F508" t="s">
        <v>20</v>
      </c>
      <c r="G508" t="s">
        <v>22</v>
      </c>
      <c r="H508">
        <v>2360</v>
      </c>
      <c r="I508">
        <v>15</v>
      </c>
      <c r="J508" t="s">
        <v>19</v>
      </c>
      <c r="K508" t="str">
        <f>IF(AND(credit[[#This Row],[Credit amount]]&gt;9000,credit[[#This Row],[Saving accounts]]="little"),"High","Low")</f>
        <v>Low</v>
      </c>
    </row>
    <row r="509" spans="1:11" x14ac:dyDescent="0.25">
      <c r="A509">
        <v>34</v>
      </c>
      <c r="B509" s="13" t="str" cm="1">
        <f t="array" ref="B509">_xlfn.IFS(credit[[#This Row],[Age]]&lt;=25,"18-25",credit[[#This Row],[Age]]&lt;=35,"26-35",credit[[#This Row],[Age]]&lt;=45,"36-45",credit[[#This Row],[Age]]&lt;=60,"46-60",TRUE,"60+")</f>
        <v>26-35</v>
      </c>
      <c r="C509" t="s">
        <v>9</v>
      </c>
      <c r="D509">
        <v>3</v>
      </c>
      <c r="E509" t="s">
        <v>10</v>
      </c>
      <c r="F509" t="s">
        <v>15</v>
      </c>
      <c r="G509" t="s">
        <v>15</v>
      </c>
      <c r="H509">
        <v>6850</v>
      </c>
      <c r="I509">
        <v>15</v>
      </c>
      <c r="J509" t="s">
        <v>19</v>
      </c>
      <c r="K509" t="str">
        <f>IF(AND(credit[[#This Row],[Credit amount]]&gt;9000,credit[[#This Row],[Saving accounts]]="little"),"High","Low")</f>
        <v>Low</v>
      </c>
    </row>
    <row r="510" spans="1:11" x14ac:dyDescent="0.25">
      <c r="A510">
        <v>28</v>
      </c>
      <c r="B510" s="13" t="str" cm="1">
        <f t="array" ref="B510">_xlfn.IFS(credit[[#This Row],[Age]]&lt;=25,"18-25",credit[[#This Row],[Age]]&lt;=35,"26-35",credit[[#This Row],[Age]]&lt;=45,"36-45",credit[[#This Row],[Age]]&lt;=60,"46-60",TRUE,"60+")</f>
        <v>26-35</v>
      </c>
      <c r="C510" t="s">
        <v>9</v>
      </c>
      <c r="D510">
        <v>2</v>
      </c>
      <c r="E510" t="s">
        <v>10</v>
      </c>
      <c r="F510" t="s">
        <v>12</v>
      </c>
      <c r="G510" t="s">
        <v>11</v>
      </c>
      <c r="H510">
        <v>1413</v>
      </c>
      <c r="I510">
        <v>24</v>
      </c>
      <c r="J510" t="s">
        <v>13</v>
      </c>
      <c r="K510" t="str">
        <f>IF(AND(credit[[#This Row],[Credit amount]]&gt;9000,credit[[#This Row],[Saving accounts]]="little"),"High","Low")</f>
        <v>Low</v>
      </c>
    </row>
    <row r="511" spans="1:11" x14ac:dyDescent="0.25">
      <c r="A511">
        <v>45</v>
      </c>
      <c r="B511" s="13" t="str" cm="1">
        <f t="array" ref="B511">_xlfn.IFS(credit[[#This Row],[Age]]&lt;=25,"18-25",credit[[#This Row],[Age]]&lt;=35,"26-35",credit[[#This Row],[Age]]&lt;=45,"36-45",credit[[#This Row],[Age]]&lt;=60,"46-60",TRUE,"60+")</f>
        <v>36-45</v>
      </c>
      <c r="C511" t="s">
        <v>9</v>
      </c>
      <c r="D511">
        <v>3</v>
      </c>
      <c r="E511" t="s">
        <v>10</v>
      </c>
      <c r="F511" t="s">
        <v>15</v>
      </c>
      <c r="G511" t="s">
        <v>11</v>
      </c>
      <c r="H511">
        <v>8588</v>
      </c>
      <c r="I511">
        <v>39</v>
      </c>
      <c r="J511" t="s">
        <v>19</v>
      </c>
      <c r="K511" t="str">
        <f>IF(AND(credit[[#This Row],[Credit amount]]&gt;9000,credit[[#This Row],[Saving accounts]]="little"),"High","Low")</f>
        <v>Low</v>
      </c>
    </row>
    <row r="512" spans="1:11" x14ac:dyDescent="0.25">
      <c r="A512">
        <v>26</v>
      </c>
      <c r="B512" s="13" t="str" cm="1">
        <f t="array" ref="B512">_xlfn.IFS(credit[[#This Row],[Age]]&lt;=25,"18-25",credit[[#This Row],[Age]]&lt;=35,"26-35",credit[[#This Row],[Age]]&lt;=45,"36-45",credit[[#This Row],[Age]]&lt;=60,"46-60",TRUE,"60+")</f>
        <v>26-35</v>
      </c>
      <c r="C512" t="s">
        <v>9</v>
      </c>
      <c r="D512">
        <v>2</v>
      </c>
      <c r="E512" t="s">
        <v>10</v>
      </c>
      <c r="F512" t="s">
        <v>12</v>
      </c>
      <c r="G512" t="s">
        <v>12</v>
      </c>
      <c r="H512">
        <v>759</v>
      </c>
      <c r="I512">
        <v>12</v>
      </c>
      <c r="J512" t="s">
        <v>19</v>
      </c>
      <c r="K512" t="str">
        <f>IF(AND(credit[[#This Row],[Credit amount]]&gt;9000,credit[[#This Row],[Saving accounts]]="little"),"High","Low")</f>
        <v>Low</v>
      </c>
    </row>
    <row r="513" spans="1:11" x14ac:dyDescent="0.25">
      <c r="A513">
        <v>32</v>
      </c>
      <c r="B513" s="13" t="str" cm="1">
        <f t="array" ref="B513">_xlfn.IFS(credit[[#This Row],[Age]]&lt;=25,"18-25",credit[[#This Row],[Age]]&lt;=35,"26-35",credit[[#This Row],[Age]]&lt;=45,"36-45",credit[[#This Row],[Age]]&lt;=60,"46-60",TRUE,"60+")</f>
        <v>26-35</v>
      </c>
      <c r="C513" t="s">
        <v>9</v>
      </c>
      <c r="D513">
        <v>3</v>
      </c>
      <c r="E513" t="s">
        <v>17</v>
      </c>
      <c r="F513" t="s">
        <v>12</v>
      </c>
      <c r="G513" t="s">
        <v>11</v>
      </c>
      <c r="H513">
        <v>4686</v>
      </c>
      <c r="I513">
        <v>36</v>
      </c>
      <c r="J513" t="s">
        <v>19</v>
      </c>
      <c r="K513" t="str">
        <f>IF(AND(credit[[#This Row],[Credit amount]]&gt;9000,credit[[#This Row],[Saving accounts]]="little"),"High","Low")</f>
        <v>Low</v>
      </c>
    </row>
    <row r="514" spans="1:11" x14ac:dyDescent="0.25">
      <c r="A514">
        <v>26</v>
      </c>
      <c r="B514" s="13" t="str" cm="1">
        <f t="array" ref="B514">_xlfn.IFS(credit[[#This Row],[Age]]&lt;=25,"18-25",credit[[#This Row],[Age]]&lt;=35,"26-35",credit[[#This Row],[Age]]&lt;=45,"36-45",credit[[#This Row],[Age]]&lt;=60,"46-60",TRUE,"60+")</f>
        <v>26-35</v>
      </c>
      <c r="C514" t="s">
        <v>9</v>
      </c>
      <c r="D514">
        <v>2</v>
      </c>
      <c r="E514" t="s">
        <v>21</v>
      </c>
      <c r="F514" t="s">
        <v>12</v>
      </c>
      <c r="G514" t="s">
        <v>22</v>
      </c>
      <c r="H514">
        <v>2687</v>
      </c>
      <c r="I514">
        <v>15</v>
      </c>
      <c r="J514" t="s">
        <v>23</v>
      </c>
      <c r="K514" t="str">
        <f>IF(AND(credit[[#This Row],[Credit amount]]&gt;9000,credit[[#This Row],[Saving accounts]]="little"),"High","Low")</f>
        <v>Low</v>
      </c>
    </row>
    <row r="515" spans="1:11" x14ac:dyDescent="0.25">
      <c r="A515">
        <v>20</v>
      </c>
      <c r="B515" s="13" t="str" cm="1">
        <f t="array" ref="B515">_xlfn.IFS(credit[[#This Row],[Age]]&lt;=25,"18-25",credit[[#This Row],[Age]]&lt;=35,"26-35",credit[[#This Row],[Age]]&lt;=45,"36-45",credit[[#This Row],[Age]]&lt;=60,"46-60",TRUE,"60+")</f>
        <v>18-25</v>
      </c>
      <c r="C515" t="s">
        <v>9</v>
      </c>
      <c r="D515">
        <v>2</v>
      </c>
      <c r="E515" t="s">
        <v>21</v>
      </c>
      <c r="F515" t="s">
        <v>12</v>
      </c>
      <c r="G515" t="s">
        <v>15</v>
      </c>
      <c r="H515">
        <v>585</v>
      </c>
      <c r="I515">
        <v>12</v>
      </c>
      <c r="J515" t="s">
        <v>13</v>
      </c>
      <c r="K515" t="str">
        <f>IF(AND(credit[[#This Row],[Credit amount]]&gt;9000,credit[[#This Row],[Saving accounts]]="little"),"High","Low")</f>
        <v>Low</v>
      </c>
    </row>
    <row r="516" spans="1:11" x14ac:dyDescent="0.25">
      <c r="A516">
        <v>54</v>
      </c>
      <c r="B516" s="13" t="str" cm="1">
        <f t="array" ref="B516">_xlfn.IFS(credit[[#This Row],[Age]]&lt;=25,"18-25",credit[[#This Row],[Age]]&lt;=35,"26-35",credit[[#This Row],[Age]]&lt;=45,"36-45",credit[[#This Row],[Age]]&lt;=60,"46-60",TRUE,"60+")</f>
        <v>46-60</v>
      </c>
      <c r="C516" t="s">
        <v>9</v>
      </c>
      <c r="D516">
        <v>2</v>
      </c>
      <c r="E516" t="s">
        <v>10</v>
      </c>
      <c r="F516" t="s">
        <v>11</v>
      </c>
      <c r="G516" t="s">
        <v>11</v>
      </c>
      <c r="H516">
        <v>2255</v>
      </c>
      <c r="I516">
        <v>24</v>
      </c>
      <c r="J516" t="s">
        <v>19</v>
      </c>
      <c r="K516" t="str">
        <f>IF(AND(credit[[#This Row],[Credit amount]]&gt;9000,credit[[#This Row],[Saving accounts]]="little"),"High","Low")</f>
        <v>Low</v>
      </c>
    </row>
    <row r="517" spans="1:11" x14ac:dyDescent="0.25">
      <c r="A517">
        <v>37</v>
      </c>
      <c r="B517" s="13" t="str" cm="1">
        <f t="array" ref="B517">_xlfn.IFS(credit[[#This Row],[Age]]&lt;=25,"18-25",credit[[#This Row],[Age]]&lt;=35,"26-35",credit[[#This Row],[Age]]&lt;=45,"36-45",credit[[#This Row],[Age]]&lt;=60,"46-60",TRUE,"60+")</f>
        <v>36-45</v>
      </c>
      <c r="C517" t="s">
        <v>14</v>
      </c>
      <c r="D517">
        <v>2</v>
      </c>
      <c r="E517" t="s">
        <v>10</v>
      </c>
      <c r="F517" t="s">
        <v>12</v>
      </c>
      <c r="G517" t="s">
        <v>12</v>
      </c>
      <c r="H517">
        <v>609</v>
      </c>
      <c r="I517">
        <v>6</v>
      </c>
      <c r="J517" t="s">
        <v>19</v>
      </c>
      <c r="K517" t="str">
        <f>IF(AND(credit[[#This Row],[Credit amount]]&gt;9000,credit[[#This Row],[Saving accounts]]="little"),"High","Low")</f>
        <v>Low</v>
      </c>
    </row>
    <row r="518" spans="1:11" x14ac:dyDescent="0.25">
      <c r="A518">
        <v>40</v>
      </c>
      <c r="B518" s="13" t="str" cm="1">
        <f t="array" ref="B518">_xlfn.IFS(credit[[#This Row],[Age]]&lt;=25,"18-25",credit[[#This Row],[Age]]&lt;=35,"26-35",credit[[#This Row],[Age]]&lt;=45,"36-45",credit[[#This Row],[Age]]&lt;=60,"46-60",TRUE,"60+")</f>
        <v>36-45</v>
      </c>
      <c r="C518" t="s">
        <v>9</v>
      </c>
      <c r="D518">
        <v>1</v>
      </c>
      <c r="E518" t="s">
        <v>10</v>
      </c>
      <c r="F518" t="s">
        <v>12</v>
      </c>
      <c r="G518" t="s">
        <v>12</v>
      </c>
      <c r="H518">
        <v>1361</v>
      </c>
      <c r="I518">
        <v>6</v>
      </c>
      <c r="J518" t="s">
        <v>19</v>
      </c>
      <c r="K518" t="str">
        <f>IF(AND(credit[[#This Row],[Credit amount]]&gt;9000,credit[[#This Row],[Saving accounts]]="little"),"High","Low")</f>
        <v>Low</v>
      </c>
    </row>
    <row r="519" spans="1:11" x14ac:dyDescent="0.25">
      <c r="A519">
        <v>23</v>
      </c>
      <c r="B519" s="13" t="str" cm="1">
        <f t="array" ref="B519">_xlfn.IFS(credit[[#This Row],[Age]]&lt;=25,"18-25",credit[[#This Row],[Age]]&lt;=35,"26-35",credit[[#This Row],[Age]]&lt;=45,"36-45",credit[[#This Row],[Age]]&lt;=60,"46-60",TRUE,"60+")</f>
        <v>18-25</v>
      </c>
      <c r="C519" t="s">
        <v>14</v>
      </c>
      <c r="D519">
        <v>2</v>
      </c>
      <c r="E519" t="s">
        <v>21</v>
      </c>
      <c r="F519" t="s">
        <v>12</v>
      </c>
      <c r="G519" t="s">
        <v>11</v>
      </c>
      <c r="H519">
        <v>7127</v>
      </c>
      <c r="I519">
        <v>36</v>
      </c>
      <c r="J519" t="s">
        <v>18</v>
      </c>
      <c r="K519" t="str">
        <f>IF(AND(credit[[#This Row],[Credit amount]]&gt;9000,credit[[#This Row],[Saving accounts]]="little"),"High","Low")</f>
        <v>Low</v>
      </c>
    </row>
    <row r="520" spans="1:11" x14ac:dyDescent="0.25">
      <c r="A520">
        <v>43</v>
      </c>
      <c r="B520" s="13" t="str" cm="1">
        <f t="array" ref="B520">_xlfn.IFS(credit[[#This Row],[Age]]&lt;=25,"18-25",credit[[#This Row],[Age]]&lt;=35,"26-35",credit[[#This Row],[Age]]&lt;=45,"36-45",credit[[#This Row],[Age]]&lt;=60,"46-60",TRUE,"60+")</f>
        <v>36-45</v>
      </c>
      <c r="C520" t="s">
        <v>9</v>
      </c>
      <c r="D520">
        <v>2</v>
      </c>
      <c r="E520" t="s">
        <v>10</v>
      </c>
      <c r="F520" t="s">
        <v>15</v>
      </c>
      <c r="G520" t="s">
        <v>12</v>
      </c>
      <c r="H520">
        <v>1203</v>
      </c>
      <c r="I520">
        <v>6</v>
      </c>
      <c r="J520" t="s">
        <v>19</v>
      </c>
      <c r="K520" t="str">
        <f>IF(AND(credit[[#This Row],[Credit amount]]&gt;9000,credit[[#This Row],[Saving accounts]]="little"),"High","Low")</f>
        <v>Low</v>
      </c>
    </row>
    <row r="521" spans="1:11" x14ac:dyDescent="0.25">
      <c r="A521">
        <v>36</v>
      </c>
      <c r="B521" s="13" t="str" cm="1">
        <f t="array" ref="B521">_xlfn.IFS(credit[[#This Row],[Age]]&lt;=25,"18-25",credit[[#This Row],[Age]]&lt;=35,"26-35",credit[[#This Row],[Age]]&lt;=45,"36-45",credit[[#This Row],[Age]]&lt;=60,"46-60",TRUE,"60+")</f>
        <v>36-45</v>
      </c>
      <c r="C521" t="s">
        <v>9</v>
      </c>
      <c r="D521">
        <v>2</v>
      </c>
      <c r="E521" t="s">
        <v>17</v>
      </c>
      <c r="F521" t="s">
        <v>11</v>
      </c>
      <c r="G521" t="s">
        <v>11</v>
      </c>
      <c r="H521">
        <v>700</v>
      </c>
      <c r="I521">
        <v>6</v>
      </c>
      <c r="J521" t="s">
        <v>13</v>
      </c>
      <c r="K521" t="str">
        <f>IF(AND(credit[[#This Row],[Credit amount]]&gt;9000,credit[[#This Row],[Saving accounts]]="little"),"High","Low")</f>
        <v>Low</v>
      </c>
    </row>
    <row r="522" spans="1:11" x14ac:dyDescent="0.25">
      <c r="A522">
        <v>44</v>
      </c>
      <c r="B522" s="13" t="str" cm="1">
        <f t="array" ref="B522">_xlfn.IFS(credit[[#This Row],[Age]]&lt;=25,"18-25",credit[[#This Row],[Age]]&lt;=35,"26-35",credit[[#This Row],[Age]]&lt;=45,"36-45",credit[[#This Row],[Age]]&lt;=60,"46-60",TRUE,"60+")</f>
        <v>36-45</v>
      </c>
      <c r="C522" t="s">
        <v>9</v>
      </c>
      <c r="D522">
        <v>2</v>
      </c>
      <c r="E522" t="s">
        <v>17</v>
      </c>
      <c r="F522" t="s">
        <v>12</v>
      </c>
      <c r="G522" t="s">
        <v>11</v>
      </c>
      <c r="H522">
        <v>5507</v>
      </c>
      <c r="I522">
        <v>24</v>
      </c>
      <c r="J522" t="s">
        <v>25</v>
      </c>
      <c r="K522" t="str">
        <f>IF(AND(credit[[#This Row],[Credit amount]]&gt;9000,credit[[#This Row],[Saving accounts]]="little"),"High","Low")</f>
        <v>Low</v>
      </c>
    </row>
    <row r="523" spans="1:11" x14ac:dyDescent="0.25">
      <c r="A523">
        <v>24</v>
      </c>
      <c r="B523" s="13" t="str" cm="1">
        <f t="array" ref="B523">_xlfn.IFS(credit[[#This Row],[Age]]&lt;=25,"18-25",credit[[#This Row],[Age]]&lt;=35,"26-35",credit[[#This Row],[Age]]&lt;=45,"36-45",credit[[#This Row],[Age]]&lt;=60,"46-60",TRUE,"60+")</f>
        <v>18-25</v>
      </c>
      <c r="C523" t="s">
        <v>14</v>
      </c>
      <c r="D523">
        <v>2</v>
      </c>
      <c r="E523" t="s">
        <v>10</v>
      </c>
      <c r="F523" t="s">
        <v>12</v>
      </c>
      <c r="G523" t="s">
        <v>12</v>
      </c>
      <c r="H523">
        <v>3190</v>
      </c>
      <c r="I523">
        <v>18</v>
      </c>
      <c r="J523" t="s">
        <v>13</v>
      </c>
      <c r="K523" t="str">
        <f>IF(AND(credit[[#This Row],[Credit amount]]&gt;9000,credit[[#This Row],[Saving accounts]]="little"),"High","Low")</f>
        <v>Low</v>
      </c>
    </row>
    <row r="524" spans="1:11" x14ac:dyDescent="0.25">
      <c r="A524">
        <v>53</v>
      </c>
      <c r="B524" s="13" t="str" cm="1">
        <f t="array" ref="B524">_xlfn.IFS(credit[[#This Row],[Age]]&lt;=25,"18-25",credit[[#This Row],[Age]]&lt;=35,"26-35",credit[[#This Row],[Age]]&lt;=45,"36-45",credit[[#This Row],[Age]]&lt;=60,"46-60",TRUE,"60+")</f>
        <v>46-60</v>
      </c>
      <c r="C524" t="s">
        <v>9</v>
      </c>
      <c r="D524">
        <v>2</v>
      </c>
      <c r="E524" t="s">
        <v>17</v>
      </c>
      <c r="F524" t="s">
        <v>12</v>
      </c>
      <c r="G524" t="s">
        <v>12</v>
      </c>
      <c r="H524">
        <v>7119</v>
      </c>
      <c r="I524">
        <v>48</v>
      </c>
      <c r="J524" t="s">
        <v>18</v>
      </c>
      <c r="K524" t="str">
        <f>IF(AND(credit[[#This Row],[Credit amount]]&gt;9000,credit[[#This Row],[Saving accounts]]="little"),"High","Low")</f>
        <v>Low</v>
      </c>
    </row>
    <row r="525" spans="1:11" x14ac:dyDescent="0.25">
      <c r="A525">
        <v>23</v>
      </c>
      <c r="B525" s="13" t="str" cm="1">
        <f t="array" ref="B525">_xlfn.IFS(credit[[#This Row],[Age]]&lt;=25,"18-25",credit[[#This Row],[Age]]&lt;=35,"26-35",credit[[#This Row],[Age]]&lt;=45,"36-45",credit[[#This Row],[Age]]&lt;=60,"46-60",TRUE,"60+")</f>
        <v>18-25</v>
      </c>
      <c r="C525" t="s">
        <v>14</v>
      </c>
      <c r="D525">
        <v>2</v>
      </c>
      <c r="E525" t="s">
        <v>10</v>
      </c>
      <c r="F525" t="s">
        <v>15</v>
      </c>
      <c r="G525" t="s">
        <v>11</v>
      </c>
      <c r="H525">
        <v>3488</v>
      </c>
      <c r="I525">
        <v>24</v>
      </c>
      <c r="J525" t="s">
        <v>19</v>
      </c>
      <c r="K525" t="str">
        <f>IF(AND(credit[[#This Row],[Credit amount]]&gt;9000,credit[[#This Row],[Saving accounts]]="little"),"High","Low")</f>
        <v>Low</v>
      </c>
    </row>
    <row r="526" spans="1:11" x14ac:dyDescent="0.25">
      <c r="A526">
        <v>26</v>
      </c>
      <c r="B526" s="13" t="str" cm="1">
        <f t="array" ref="B526">_xlfn.IFS(credit[[#This Row],[Age]]&lt;=25,"18-25",credit[[#This Row],[Age]]&lt;=35,"26-35",credit[[#This Row],[Age]]&lt;=45,"36-45",credit[[#This Row],[Age]]&lt;=60,"46-60",TRUE,"60+")</f>
        <v>26-35</v>
      </c>
      <c r="C526" t="s">
        <v>14</v>
      </c>
      <c r="D526">
        <v>1</v>
      </c>
      <c r="E526" t="s">
        <v>10</v>
      </c>
      <c r="F526" t="s">
        <v>12</v>
      </c>
      <c r="G526" t="s">
        <v>15</v>
      </c>
      <c r="H526">
        <v>1113</v>
      </c>
      <c r="I526">
        <v>18</v>
      </c>
      <c r="J526" t="s">
        <v>13</v>
      </c>
      <c r="K526" t="str">
        <f>IF(AND(credit[[#This Row],[Credit amount]]&gt;9000,credit[[#This Row],[Saving accounts]]="little"),"High","Low")</f>
        <v>Low</v>
      </c>
    </row>
    <row r="527" spans="1:11" x14ac:dyDescent="0.25">
      <c r="A527">
        <v>30</v>
      </c>
      <c r="B527" s="13" t="str" cm="1">
        <f t="array" ref="B527">_xlfn.IFS(credit[[#This Row],[Age]]&lt;=25,"18-25",credit[[#This Row],[Age]]&lt;=35,"26-35",credit[[#This Row],[Age]]&lt;=45,"36-45",credit[[#This Row],[Age]]&lt;=60,"46-60",TRUE,"60+")</f>
        <v>26-35</v>
      </c>
      <c r="C527" t="s">
        <v>9</v>
      </c>
      <c r="D527">
        <v>2</v>
      </c>
      <c r="E527" t="s">
        <v>10</v>
      </c>
      <c r="F527" t="s">
        <v>12</v>
      </c>
      <c r="G527" t="s">
        <v>15</v>
      </c>
      <c r="H527">
        <v>7966</v>
      </c>
      <c r="I527">
        <v>26</v>
      </c>
      <c r="J527" t="s">
        <v>19</v>
      </c>
      <c r="K527" t="str">
        <f>IF(AND(credit[[#This Row],[Credit amount]]&gt;9000,credit[[#This Row],[Saving accounts]]="little"),"High","Low")</f>
        <v>Low</v>
      </c>
    </row>
    <row r="528" spans="1:11" x14ac:dyDescent="0.25">
      <c r="A528">
        <v>31</v>
      </c>
      <c r="B528" s="13" t="str" cm="1">
        <f t="array" ref="B528">_xlfn.IFS(credit[[#This Row],[Age]]&lt;=25,"18-25",credit[[#This Row],[Age]]&lt;=35,"26-35",credit[[#This Row],[Age]]&lt;=45,"36-45",credit[[#This Row],[Age]]&lt;=60,"46-60",TRUE,"60+")</f>
        <v>26-35</v>
      </c>
      <c r="C528" t="s">
        <v>14</v>
      </c>
      <c r="D528">
        <v>2</v>
      </c>
      <c r="E528" t="s">
        <v>10</v>
      </c>
      <c r="F528" t="s">
        <v>15</v>
      </c>
      <c r="G528" t="s">
        <v>11</v>
      </c>
      <c r="H528">
        <v>1532</v>
      </c>
      <c r="I528">
        <v>15</v>
      </c>
      <c r="J528" t="s">
        <v>16</v>
      </c>
      <c r="K528" t="str">
        <f>IF(AND(credit[[#This Row],[Credit amount]]&gt;9000,credit[[#This Row],[Saving accounts]]="little"),"High","Low")</f>
        <v>Low</v>
      </c>
    </row>
    <row r="529" spans="1:11" x14ac:dyDescent="0.25">
      <c r="A529">
        <v>42</v>
      </c>
      <c r="B529" s="13" t="str" cm="1">
        <f t="array" ref="B529">_xlfn.IFS(credit[[#This Row],[Age]]&lt;=25,"18-25",credit[[#This Row],[Age]]&lt;=35,"26-35",credit[[#This Row],[Age]]&lt;=45,"36-45",credit[[#This Row],[Age]]&lt;=60,"46-60",TRUE,"60+")</f>
        <v>36-45</v>
      </c>
      <c r="C529" t="s">
        <v>9</v>
      </c>
      <c r="D529">
        <v>1</v>
      </c>
      <c r="E529" t="s">
        <v>10</v>
      </c>
      <c r="F529" t="s">
        <v>12</v>
      </c>
      <c r="G529" t="s">
        <v>11</v>
      </c>
      <c r="H529">
        <v>1503</v>
      </c>
      <c r="I529">
        <v>4</v>
      </c>
      <c r="J529" t="s">
        <v>13</v>
      </c>
      <c r="K529" t="str">
        <f>IF(AND(credit[[#This Row],[Credit amount]]&gt;9000,credit[[#This Row],[Saving accounts]]="little"),"High","Low")</f>
        <v>Low</v>
      </c>
    </row>
    <row r="530" spans="1:11" x14ac:dyDescent="0.25">
      <c r="A530">
        <v>31</v>
      </c>
      <c r="B530" s="13" t="str" cm="1">
        <f t="array" ref="B530">_xlfn.IFS(credit[[#This Row],[Age]]&lt;=25,"18-25",credit[[#This Row],[Age]]&lt;=35,"26-35",credit[[#This Row],[Age]]&lt;=45,"36-45",credit[[#This Row],[Age]]&lt;=60,"46-60",TRUE,"60+")</f>
        <v>26-35</v>
      </c>
      <c r="C530" t="s">
        <v>9</v>
      </c>
      <c r="D530">
        <v>2</v>
      </c>
      <c r="E530" t="s">
        <v>21</v>
      </c>
      <c r="F530" t="s">
        <v>12</v>
      </c>
      <c r="G530" t="s">
        <v>12</v>
      </c>
      <c r="H530">
        <v>2302</v>
      </c>
      <c r="I530">
        <v>36</v>
      </c>
      <c r="J530" t="s">
        <v>13</v>
      </c>
      <c r="K530" t="str">
        <f>IF(AND(credit[[#This Row],[Credit amount]]&gt;9000,credit[[#This Row],[Saving accounts]]="little"),"High","Low")</f>
        <v>Low</v>
      </c>
    </row>
    <row r="531" spans="1:11" x14ac:dyDescent="0.25">
      <c r="A531">
        <v>41</v>
      </c>
      <c r="B531" s="13" t="str" cm="1">
        <f t="array" ref="B531">_xlfn.IFS(credit[[#This Row],[Age]]&lt;=25,"18-25",credit[[#This Row],[Age]]&lt;=35,"26-35",credit[[#This Row],[Age]]&lt;=45,"36-45",credit[[#This Row],[Age]]&lt;=60,"46-60",TRUE,"60+")</f>
        <v>36-45</v>
      </c>
      <c r="C531" t="s">
        <v>9</v>
      </c>
      <c r="D531">
        <v>1</v>
      </c>
      <c r="E531" t="s">
        <v>10</v>
      </c>
      <c r="F531" t="s">
        <v>12</v>
      </c>
      <c r="G531" t="s">
        <v>12</v>
      </c>
      <c r="H531">
        <v>662</v>
      </c>
      <c r="I531">
        <v>6</v>
      </c>
      <c r="J531" t="s">
        <v>19</v>
      </c>
      <c r="K531" t="str">
        <f>IF(AND(credit[[#This Row],[Credit amount]]&gt;9000,credit[[#This Row],[Saving accounts]]="little"),"High","Low")</f>
        <v>Low</v>
      </c>
    </row>
    <row r="532" spans="1:11" x14ac:dyDescent="0.25">
      <c r="A532">
        <v>32</v>
      </c>
      <c r="B532" s="13" t="str" cm="1">
        <f t="array" ref="B532">_xlfn.IFS(credit[[#This Row],[Age]]&lt;=25,"18-25",credit[[#This Row],[Age]]&lt;=35,"26-35",credit[[#This Row],[Age]]&lt;=45,"36-45",credit[[#This Row],[Age]]&lt;=60,"46-60",TRUE,"60+")</f>
        <v>26-35</v>
      </c>
      <c r="C532" t="s">
        <v>9</v>
      </c>
      <c r="D532">
        <v>2</v>
      </c>
      <c r="E532" t="s">
        <v>10</v>
      </c>
      <c r="F532" t="s">
        <v>12</v>
      </c>
      <c r="G532" t="s">
        <v>15</v>
      </c>
      <c r="H532">
        <v>2273</v>
      </c>
      <c r="I532">
        <v>36</v>
      </c>
      <c r="J532" t="s">
        <v>16</v>
      </c>
      <c r="K532" t="str">
        <f>IF(AND(credit[[#This Row],[Credit amount]]&gt;9000,credit[[#This Row],[Saving accounts]]="little"),"High","Low")</f>
        <v>Low</v>
      </c>
    </row>
    <row r="533" spans="1:11" x14ac:dyDescent="0.25">
      <c r="A533">
        <v>28</v>
      </c>
      <c r="B533" s="13" t="str" cm="1">
        <f t="array" ref="B533">_xlfn.IFS(credit[[#This Row],[Age]]&lt;=25,"18-25",credit[[#This Row],[Age]]&lt;=35,"26-35",credit[[#This Row],[Age]]&lt;=45,"36-45",credit[[#This Row],[Age]]&lt;=60,"46-60",TRUE,"60+")</f>
        <v>26-35</v>
      </c>
      <c r="C533" t="s">
        <v>14</v>
      </c>
      <c r="D533">
        <v>2</v>
      </c>
      <c r="E533" t="s">
        <v>21</v>
      </c>
      <c r="F533" t="s">
        <v>15</v>
      </c>
      <c r="G533" t="s">
        <v>15</v>
      </c>
      <c r="H533">
        <v>2631</v>
      </c>
      <c r="I533">
        <v>15</v>
      </c>
      <c r="J533" t="s">
        <v>19</v>
      </c>
      <c r="K533" t="str">
        <f>IF(AND(credit[[#This Row],[Credit amount]]&gt;9000,credit[[#This Row],[Saving accounts]]="little"),"High","Low")</f>
        <v>Low</v>
      </c>
    </row>
    <row r="534" spans="1:11" x14ac:dyDescent="0.25">
      <c r="A534">
        <v>41</v>
      </c>
      <c r="B534" s="13" t="str" cm="1">
        <f t="array" ref="B534">_xlfn.IFS(credit[[#This Row],[Age]]&lt;=25,"18-25",credit[[#This Row],[Age]]&lt;=35,"26-35",credit[[#This Row],[Age]]&lt;=45,"36-45",credit[[#This Row],[Age]]&lt;=60,"46-60",TRUE,"60+")</f>
        <v>36-45</v>
      </c>
      <c r="C534" t="s">
        <v>9</v>
      </c>
      <c r="D534">
        <v>2</v>
      </c>
      <c r="E534" t="s">
        <v>21</v>
      </c>
      <c r="F534" t="s">
        <v>12</v>
      </c>
      <c r="G534" t="s">
        <v>11</v>
      </c>
      <c r="H534">
        <v>1503</v>
      </c>
      <c r="I534">
        <v>12</v>
      </c>
      <c r="J534" t="s">
        <v>19</v>
      </c>
      <c r="K534" t="str">
        <f>IF(AND(credit[[#This Row],[Credit amount]]&gt;9000,credit[[#This Row],[Saving accounts]]="little"),"High","Low")</f>
        <v>Low</v>
      </c>
    </row>
    <row r="535" spans="1:11" x14ac:dyDescent="0.25">
      <c r="A535">
        <v>26</v>
      </c>
      <c r="B535" s="13" t="str" cm="1">
        <f t="array" ref="B535">_xlfn.IFS(credit[[#This Row],[Age]]&lt;=25,"18-25",credit[[#This Row],[Age]]&lt;=35,"26-35",credit[[#This Row],[Age]]&lt;=45,"36-45",credit[[#This Row],[Age]]&lt;=60,"46-60",TRUE,"60+")</f>
        <v>26-35</v>
      </c>
      <c r="C535" t="s">
        <v>9</v>
      </c>
      <c r="D535">
        <v>2</v>
      </c>
      <c r="E535" t="s">
        <v>10</v>
      </c>
      <c r="F535" t="s">
        <v>15</v>
      </c>
      <c r="G535" t="s">
        <v>11</v>
      </c>
      <c r="H535">
        <v>1311</v>
      </c>
      <c r="I535">
        <v>24</v>
      </c>
      <c r="J535" t="s">
        <v>13</v>
      </c>
      <c r="K535" t="str">
        <f>IF(AND(credit[[#This Row],[Credit amount]]&gt;9000,credit[[#This Row],[Saving accounts]]="little"),"High","Low")</f>
        <v>Low</v>
      </c>
    </row>
    <row r="536" spans="1:11" x14ac:dyDescent="0.25">
      <c r="A536">
        <v>25</v>
      </c>
      <c r="B536" s="13" t="str" cm="1">
        <f t="array" ref="B536">_xlfn.IFS(credit[[#This Row],[Age]]&lt;=25,"18-25",credit[[#This Row],[Age]]&lt;=35,"26-35",credit[[#This Row],[Age]]&lt;=45,"36-45",credit[[#This Row],[Age]]&lt;=60,"46-60",TRUE,"60+")</f>
        <v>18-25</v>
      </c>
      <c r="C536" t="s">
        <v>9</v>
      </c>
      <c r="D536">
        <v>2</v>
      </c>
      <c r="E536" t="s">
        <v>10</v>
      </c>
      <c r="F536" t="s">
        <v>11</v>
      </c>
      <c r="G536" t="s">
        <v>11</v>
      </c>
      <c r="H536">
        <v>3105</v>
      </c>
      <c r="I536">
        <v>24</v>
      </c>
      <c r="J536" t="s">
        <v>13</v>
      </c>
      <c r="K536" t="str">
        <f>IF(AND(credit[[#This Row],[Credit amount]]&gt;9000,credit[[#This Row],[Saving accounts]]="little"),"High","Low")</f>
        <v>Low</v>
      </c>
    </row>
    <row r="537" spans="1:11" x14ac:dyDescent="0.25">
      <c r="A537">
        <v>33</v>
      </c>
      <c r="B537" s="13" t="str" cm="1">
        <f t="array" ref="B537">_xlfn.IFS(credit[[#This Row],[Age]]&lt;=25,"18-25",credit[[#This Row],[Age]]&lt;=35,"26-35",credit[[#This Row],[Age]]&lt;=45,"36-45",credit[[#This Row],[Age]]&lt;=60,"46-60",TRUE,"60+")</f>
        <v>26-35</v>
      </c>
      <c r="C537" t="s">
        <v>9</v>
      </c>
      <c r="D537">
        <v>2</v>
      </c>
      <c r="E537" t="s">
        <v>21</v>
      </c>
      <c r="F537" t="s">
        <v>12</v>
      </c>
      <c r="G537" t="s">
        <v>22</v>
      </c>
      <c r="H537">
        <v>2319</v>
      </c>
      <c r="I537">
        <v>21</v>
      </c>
      <c r="J537" t="s">
        <v>16</v>
      </c>
      <c r="K537" t="str">
        <f>IF(AND(credit[[#This Row],[Credit amount]]&gt;9000,credit[[#This Row],[Saving accounts]]="little"),"High","Low")</f>
        <v>Low</v>
      </c>
    </row>
    <row r="538" spans="1:11" x14ac:dyDescent="0.25">
      <c r="A538">
        <v>75</v>
      </c>
      <c r="B538" s="13" t="str" cm="1">
        <f t="array" ref="B538">_xlfn.IFS(credit[[#This Row],[Age]]&lt;=25,"18-25",credit[[#This Row],[Age]]&lt;=35,"26-35",credit[[#This Row],[Age]]&lt;=45,"36-45",credit[[#This Row],[Age]]&lt;=60,"46-60",TRUE,"60+")</f>
        <v>60+</v>
      </c>
      <c r="C538" t="s">
        <v>14</v>
      </c>
      <c r="D538">
        <v>3</v>
      </c>
      <c r="E538" t="s">
        <v>10</v>
      </c>
      <c r="F538" t="s">
        <v>11</v>
      </c>
      <c r="G538" t="s">
        <v>12</v>
      </c>
      <c r="H538">
        <v>1374</v>
      </c>
      <c r="I538">
        <v>6</v>
      </c>
      <c r="J538" t="s">
        <v>19</v>
      </c>
      <c r="K538" t="str">
        <f>IF(AND(credit[[#This Row],[Credit amount]]&gt;9000,credit[[#This Row],[Saving accounts]]="little"),"High","Low")</f>
        <v>Low</v>
      </c>
    </row>
    <row r="539" spans="1:11" x14ac:dyDescent="0.25">
      <c r="A539">
        <v>37</v>
      </c>
      <c r="B539" s="13" t="str" cm="1">
        <f t="array" ref="B539">_xlfn.IFS(credit[[#This Row],[Age]]&lt;=25,"18-25",credit[[#This Row],[Age]]&lt;=35,"26-35",credit[[#This Row],[Age]]&lt;=45,"36-45",credit[[#This Row],[Age]]&lt;=60,"46-60",TRUE,"60+")</f>
        <v>36-45</v>
      </c>
      <c r="C539" t="s">
        <v>14</v>
      </c>
      <c r="D539">
        <v>2</v>
      </c>
      <c r="E539" t="s">
        <v>10</v>
      </c>
      <c r="F539" t="s">
        <v>12</v>
      </c>
      <c r="G539" t="s">
        <v>15</v>
      </c>
      <c r="H539">
        <v>3612</v>
      </c>
      <c r="I539">
        <v>18</v>
      </c>
      <c r="J539" t="s">
        <v>18</v>
      </c>
      <c r="K539" t="str">
        <f>IF(AND(credit[[#This Row],[Credit amount]]&gt;9000,credit[[#This Row],[Saving accounts]]="little"),"High","Low")</f>
        <v>Low</v>
      </c>
    </row>
    <row r="540" spans="1:11" x14ac:dyDescent="0.25">
      <c r="A540">
        <v>42</v>
      </c>
      <c r="B540" s="13" t="str" cm="1">
        <f t="array" ref="B540">_xlfn.IFS(credit[[#This Row],[Age]]&lt;=25,"18-25",credit[[#This Row],[Age]]&lt;=35,"26-35",credit[[#This Row],[Age]]&lt;=45,"36-45",credit[[#This Row],[Age]]&lt;=60,"46-60",TRUE,"60+")</f>
        <v>36-45</v>
      </c>
      <c r="C540" t="s">
        <v>9</v>
      </c>
      <c r="D540">
        <v>3</v>
      </c>
      <c r="E540" t="s">
        <v>17</v>
      </c>
      <c r="F540" t="s">
        <v>12</v>
      </c>
      <c r="G540" t="s">
        <v>12</v>
      </c>
      <c r="H540">
        <v>7763</v>
      </c>
      <c r="I540">
        <v>48</v>
      </c>
      <c r="J540" t="s">
        <v>19</v>
      </c>
      <c r="K540" t="str">
        <f>IF(AND(credit[[#This Row],[Credit amount]]&gt;9000,credit[[#This Row],[Saving accounts]]="little"),"High","Low")</f>
        <v>Low</v>
      </c>
    </row>
    <row r="541" spans="1:11" x14ac:dyDescent="0.25">
      <c r="A541">
        <v>45</v>
      </c>
      <c r="B541" s="13" t="str" cm="1">
        <f t="array" ref="B541">_xlfn.IFS(credit[[#This Row],[Age]]&lt;=25,"18-25",credit[[#This Row],[Age]]&lt;=35,"26-35",credit[[#This Row],[Age]]&lt;=45,"36-45",credit[[#This Row],[Age]]&lt;=60,"46-60",TRUE,"60+")</f>
        <v>36-45</v>
      </c>
      <c r="C541" t="s">
        <v>14</v>
      </c>
      <c r="D541">
        <v>1</v>
      </c>
      <c r="E541" t="s">
        <v>10</v>
      </c>
      <c r="F541" t="s">
        <v>12</v>
      </c>
      <c r="G541" t="s">
        <v>22</v>
      </c>
      <c r="H541">
        <v>3049</v>
      </c>
      <c r="I541">
        <v>18</v>
      </c>
      <c r="J541" t="s">
        <v>18</v>
      </c>
      <c r="K541" t="str">
        <f>IF(AND(credit[[#This Row],[Credit amount]]&gt;9000,credit[[#This Row],[Saving accounts]]="little"),"High","Low")</f>
        <v>Low</v>
      </c>
    </row>
    <row r="542" spans="1:11" x14ac:dyDescent="0.25">
      <c r="A542">
        <v>23</v>
      </c>
      <c r="B542" s="13" t="str" cm="1">
        <f t="array" ref="B542">_xlfn.IFS(credit[[#This Row],[Age]]&lt;=25,"18-25",credit[[#This Row],[Age]]&lt;=35,"26-35",credit[[#This Row],[Age]]&lt;=45,"36-45",credit[[#This Row],[Age]]&lt;=60,"46-60",TRUE,"60+")</f>
        <v>18-25</v>
      </c>
      <c r="C542" t="s">
        <v>9</v>
      </c>
      <c r="D542">
        <v>2</v>
      </c>
      <c r="E542" t="s">
        <v>21</v>
      </c>
      <c r="F542" t="s">
        <v>12</v>
      </c>
      <c r="G542" t="s">
        <v>15</v>
      </c>
      <c r="H542">
        <v>1534</v>
      </c>
      <c r="I542">
        <v>12</v>
      </c>
      <c r="J542" t="s">
        <v>13</v>
      </c>
      <c r="K542" t="str">
        <f>IF(AND(credit[[#This Row],[Credit amount]]&gt;9000,credit[[#This Row],[Saving accounts]]="little"),"High","Low")</f>
        <v>Low</v>
      </c>
    </row>
    <row r="543" spans="1:11" x14ac:dyDescent="0.25">
      <c r="A543">
        <v>60</v>
      </c>
      <c r="B543" s="13" t="str" cm="1">
        <f t="array" ref="B543">_xlfn.IFS(credit[[#This Row],[Age]]&lt;=25,"18-25",credit[[#This Row],[Age]]&lt;=35,"26-35",credit[[#This Row],[Age]]&lt;=45,"36-45",credit[[#This Row],[Age]]&lt;=60,"46-60",TRUE,"60+")</f>
        <v>46-60</v>
      </c>
      <c r="C543" t="s">
        <v>9</v>
      </c>
      <c r="D543">
        <v>2</v>
      </c>
      <c r="E543" t="s">
        <v>17</v>
      </c>
      <c r="F543" t="s">
        <v>12</v>
      </c>
      <c r="G543" t="s">
        <v>11</v>
      </c>
      <c r="H543">
        <v>2032</v>
      </c>
      <c r="I543">
        <v>24</v>
      </c>
      <c r="J543" t="s">
        <v>19</v>
      </c>
      <c r="K543" t="str">
        <f>IF(AND(credit[[#This Row],[Credit amount]]&gt;9000,credit[[#This Row],[Saving accounts]]="little"),"High","Low")</f>
        <v>Low</v>
      </c>
    </row>
    <row r="544" spans="1:11" x14ac:dyDescent="0.25">
      <c r="A544">
        <v>31</v>
      </c>
      <c r="B544" s="13" t="str" cm="1">
        <f t="array" ref="B544">_xlfn.IFS(credit[[#This Row],[Age]]&lt;=25,"18-25",credit[[#This Row],[Age]]&lt;=35,"26-35",credit[[#This Row],[Age]]&lt;=45,"36-45",credit[[#This Row],[Age]]&lt;=60,"46-60",TRUE,"60+")</f>
        <v>26-35</v>
      </c>
      <c r="C544" t="s">
        <v>9</v>
      </c>
      <c r="D544">
        <v>2</v>
      </c>
      <c r="E544" t="s">
        <v>10</v>
      </c>
      <c r="F544" t="s">
        <v>11</v>
      </c>
      <c r="G544" t="s">
        <v>12</v>
      </c>
      <c r="H544">
        <v>6350</v>
      </c>
      <c r="I544">
        <v>30</v>
      </c>
      <c r="J544" t="s">
        <v>18</v>
      </c>
      <c r="K544" t="str">
        <f>IF(AND(credit[[#This Row],[Credit amount]]&gt;9000,credit[[#This Row],[Saving accounts]]="little"),"High","Low")</f>
        <v>Low</v>
      </c>
    </row>
    <row r="545" spans="1:11" x14ac:dyDescent="0.25">
      <c r="A545">
        <v>34</v>
      </c>
      <c r="B545" s="13" t="str" cm="1">
        <f t="array" ref="B545">_xlfn.IFS(credit[[#This Row],[Age]]&lt;=25,"18-25",credit[[#This Row],[Age]]&lt;=35,"26-35",credit[[#This Row],[Age]]&lt;=45,"36-45",credit[[#This Row],[Age]]&lt;=60,"46-60",TRUE,"60+")</f>
        <v>26-35</v>
      </c>
      <c r="C545" t="s">
        <v>9</v>
      </c>
      <c r="D545">
        <v>1</v>
      </c>
      <c r="E545" t="s">
        <v>10</v>
      </c>
      <c r="F545" t="s">
        <v>12</v>
      </c>
      <c r="G545" t="s">
        <v>22</v>
      </c>
      <c r="H545">
        <v>2864</v>
      </c>
      <c r="I545">
        <v>18</v>
      </c>
      <c r="J545" t="s">
        <v>18</v>
      </c>
      <c r="K545" t="str">
        <f>IF(AND(credit[[#This Row],[Credit amount]]&gt;9000,credit[[#This Row],[Saving accounts]]="little"),"High","Low")</f>
        <v>Low</v>
      </c>
    </row>
    <row r="546" spans="1:11" x14ac:dyDescent="0.25">
      <c r="A546">
        <v>61</v>
      </c>
      <c r="B546" s="13" t="str" cm="1">
        <f t="array" ref="B546">_xlfn.IFS(credit[[#This Row],[Age]]&lt;=25,"18-25",credit[[#This Row],[Age]]&lt;=35,"26-35",credit[[#This Row],[Age]]&lt;=45,"36-45",credit[[#This Row],[Age]]&lt;=60,"46-60",TRUE,"60+")</f>
        <v>60+</v>
      </c>
      <c r="C546" t="s">
        <v>9</v>
      </c>
      <c r="D546">
        <v>1</v>
      </c>
      <c r="E546" t="s">
        <v>10</v>
      </c>
      <c r="F546" t="s">
        <v>12</v>
      </c>
      <c r="G546" t="s">
        <v>11</v>
      </c>
      <c r="H546">
        <v>1255</v>
      </c>
      <c r="I546">
        <v>12</v>
      </c>
      <c r="J546" t="s">
        <v>19</v>
      </c>
      <c r="K546" t="str">
        <f>IF(AND(credit[[#This Row],[Credit amount]]&gt;9000,credit[[#This Row],[Saving accounts]]="little"),"High","Low")</f>
        <v>Low</v>
      </c>
    </row>
    <row r="547" spans="1:11" x14ac:dyDescent="0.25">
      <c r="A547">
        <v>43</v>
      </c>
      <c r="B547" s="13" t="str" cm="1">
        <f t="array" ref="B547">_xlfn.IFS(credit[[#This Row],[Age]]&lt;=25,"18-25",credit[[#This Row],[Age]]&lt;=35,"26-35",credit[[#This Row],[Age]]&lt;=45,"36-45",credit[[#This Row],[Age]]&lt;=60,"46-60",TRUE,"60+")</f>
        <v>36-45</v>
      </c>
      <c r="C547" t="s">
        <v>9</v>
      </c>
      <c r="D547">
        <v>2</v>
      </c>
      <c r="E547" t="s">
        <v>17</v>
      </c>
      <c r="F547" t="s">
        <v>12</v>
      </c>
      <c r="G547" t="s">
        <v>12</v>
      </c>
      <c r="H547">
        <v>1333</v>
      </c>
      <c r="I547">
        <v>24</v>
      </c>
      <c r="J547" t="s">
        <v>19</v>
      </c>
      <c r="K547" t="str">
        <f>IF(AND(credit[[#This Row],[Credit amount]]&gt;9000,credit[[#This Row],[Saving accounts]]="little"),"High","Low")</f>
        <v>Low</v>
      </c>
    </row>
    <row r="548" spans="1:11" x14ac:dyDescent="0.25">
      <c r="A548">
        <v>37</v>
      </c>
      <c r="B548" s="13" t="str" cm="1">
        <f t="array" ref="B548">_xlfn.IFS(credit[[#This Row],[Age]]&lt;=25,"18-25",credit[[#This Row],[Age]]&lt;=35,"26-35",credit[[#This Row],[Age]]&lt;=45,"36-45",credit[[#This Row],[Age]]&lt;=60,"46-60",TRUE,"60+")</f>
        <v>36-45</v>
      </c>
      <c r="C548" t="s">
        <v>14</v>
      </c>
      <c r="D548">
        <v>2</v>
      </c>
      <c r="E548" t="s">
        <v>10</v>
      </c>
      <c r="F548" t="s">
        <v>12</v>
      </c>
      <c r="G548" t="s">
        <v>11</v>
      </c>
      <c r="H548">
        <v>2022</v>
      </c>
      <c r="I548">
        <v>24</v>
      </c>
      <c r="J548" t="s">
        <v>19</v>
      </c>
      <c r="K548" t="str">
        <f>IF(AND(credit[[#This Row],[Credit amount]]&gt;9000,credit[[#This Row],[Saving accounts]]="little"),"High","Low")</f>
        <v>Low</v>
      </c>
    </row>
    <row r="549" spans="1:11" x14ac:dyDescent="0.25">
      <c r="A549">
        <v>32</v>
      </c>
      <c r="B549" s="13" t="str" cm="1">
        <f t="array" ref="B549">_xlfn.IFS(credit[[#This Row],[Age]]&lt;=25,"18-25",credit[[#This Row],[Age]]&lt;=35,"26-35",credit[[#This Row],[Age]]&lt;=45,"36-45",credit[[#This Row],[Age]]&lt;=60,"46-60",TRUE,"60+")</f>
        <v>26-35</v>
      </c>
      <c r="C549" t="s">
        <v>9</v>
      </c>
      <c r="D549">
        <v>2</v>
      </c>
      <c r="E549" t="s">
        <v>10</v>
      </c>
      <c r="F549" t="s">
        <v>12</v>
      </c>
      <c r="G549" t="s">
        <v>11</v>
      </c>
      <c r="H549">
        <v>1552</v>
      </c>
      <c r="I549">
        <v>24</v>
      </c>
      <c r="J549" t="s">
        <v>13</v>
      </c>
      <c r="K549" t="str">
        <f>IF(AND(credit[[#This Row],[Credit amount]]&gt;9000,credit[[#This Row],[Saving accounts]]="little"),"High","Low")</f>
        <v>Low</v>
      </c>
    </row>
    <row r="550" spans="1:11" x14ac:dyDescent="0.25">
      <c r="A550">
        <v>24</v>
      </c>
      <c r="B550" s="13" t="str" cm="1">
        <f t="array" ref="B550">_xlfn.IFS(credit[[#This Row],[Age]]&lt;=25,"18-25",credit[[#This Row],[Age]]&lt;=35,"26-35",credit[[#This Row],[Age]]&lt;=45,"36-45",credit[[#This Row],[Age]]&lt;=60,"46-60",TRUE,"60+")</f>
        <v>18-25</v>
      </c>
      <c r="C550" t="s">
        <v>14</v>
      </c>
      <c r="D550">
        <v>1</v>
      </c>
      <c r="E550" t="s">
        <v>10</v>
      </c>
      <c r="F550" t="s">
        <v>12</v>
      </c>
      <c r="G550" t="s">
        <v>12</v>
      </c>
      <c r="H550">
        <v>626</v>
      </c>
      <c r="I550">
        <v>12</v>
      </c>
      <c r="J550" t="s">
        <v>13</v>
      </c>
      <c r="K550" t="str">
        <f>IF(AND(credit[[#This Row],[Credit amount]]&gt;9000,credit[[#This Row],[Saving accounts]]="little"),"High","Low")</f>
        <v>Low</v>
      </c>
    </row>
    <row r="551" spans="1:11" x14ac:dyDescent="0.25">
      <c r="A551">
        <v>35</v>
      </c>
      <c r="B551" s="13" t="str" cm="1">
        <f t="array" ref="B551">_xlfn.IFS(credit[[#This Row],[Age]]&lt;=25,"18-25",credit[[#This Row],[Age]]&lt;=35,"26-35",credit[[#This Row],[Age]]&lt;=45,"36-45",credit[[#This Row],[Age]]&lt;=60,"46-60",TRUE,"60+")</f>
        <v>26-35</v>
      </c>
      <c r="C551" t="s">
        <v>9</v>
      </c>
      <c r="D551">
        <v>2</v>
      </c>
      <c r="E551" t="s">
        <v>17</v>
      </c>
      <c r="F551" t="s">
        <v>11</v>
      </c>
      <c r="G551" t="s">
        <v>11</v>
      </c>
      <c r="H551">
        <v>8858</v>
      </c>
      <c r="I551">
        <v>48</v>
      </c>
      <c r="J551" t="s">
        <v>19</v>
      </c>
      <c r="K551" t="str">
        <f>IF(AND(credit[[#This Row],[Credit amount]]&gt;9000,credit[[#This Row],[Saving accounts]]="little"),"High","Low")</f>
        <v>Low</v>
      </c>
    </row>
    <row r="552" spans="1:11" x14ac:dyDescent="0.25">
      <c r="A552">
        <v>23</v>
      </c>
      <c r="B552" s="13" t="str" cm="1">
        <f t="array" ref="B552">_xlfn.IFS(credit[[#This Row],[Age]]&lt;=25,"18-25",credit[[#This Row],[Age]]&lt;=35,"26-35",credit[[#This Row],[Age]]&lt;=45,"36-45",credit[[#This Row],[Age]]&lt;=60,"46-60",TRUE,"60+")</f>
        <v>18-25</v>
      </c>
      <c r="C552" t="s">
        <v>14</v>
      </c>
      <c r="D552">
        <v>2</v>
      </c>
      <c r="E552" t="s">
        <v>10</v>
      </c>
      <c r="F552" t="s">
        <v>11</v>
      </c>
      <c r="G552" t="s">
        <v>11</v>
      </c>
      <c r="H552">
        <v>996</v>
      </c>
      <c r="I552">
        <v>12</v>
      </c>
      <c r="J552" t="s">
        <v>25</v>
      </c>
      <c r="K552" t="str">
        <f>IF(AND(credit[[#This Row],[Credit amount]]&gt;9000,credit[[#This Row],[Saving accounts]]="little"),"High","Low")</f>
        <v>Low</v>
      </c>
    </row>
    <row r="553" spans="1:11" x14ac:dyDescent="0.25">
      <c r="A553">
        <v>45</v>
      </c>
      <c r="B553" s="13" t="str" cm="1">
        <f t="array" ref="B553">_xlfn.IFS(credit[[#This Row],[Age]]&lt;=25,"18-25",credit[[#This Row],[Age]]&lt;=35,"26-35",credit[[#This Row],[Age]]&lt;=45,"36-45",credit[[#This Row],[Age]]&lt;=60,"46-60",TRUE,"60+")</f>
        <v>36-45</v>
      </c>
      <c r="C553" t="s">
        <v>9</v>
      </c>
      <c r="D553">
        <v>1</v>
      </c>
      <c r="E553" t="s">
        <v>10</v>
      </c>
      <c r="F553" t="s">
        <v>20</v>
      </c>
      <c r="G553" t="s">
        <v>11</v>
      </c>
      <c r="H553">
        <v>1750</v>
      </c>
      <c r="I553">
        <v>6</v>
      </c>
      <c r="J553" t="s">
        <v>13</v>
      </c>
      <c r="K553" t="str">
        <f>IF(AND(credit[[#This Row],[Credit amount]]&gt;9000,credit[[#This Row],[Saving accounts]]="little"),"High","Low")</f>
        <v>Low</v>
      </c>
    </row>
    <row r="554" spans="1:11" x14ac:dyDescent="0.25">
      <c r="A554">
        <v>34</v>
      </c>
      <c r="B554" s="13" t="str" cm="1">
        <f t="array" ref="B554">_xlfn.IFS(credit[[#This Row],[Age]]&lt;=25,"18-25",credit[[#This Row],[Age]]&lt;=35,"26-35",credit[[#This Row],[Age]]&lt;=45,"36-45",credit[[#This Row],[Age]]&lt;=60,"46-60",TRUE,"60+")</f>
        <v>26-35</v>
      </c>
      <c r="C554" t="s">
        <v>9</v>
      </c>
      <c r="D554">
        <v>2</v>
      </c>
      <c r="E554" t="s">
        <v>10</v>
      </c>
      <c r="F554" t="s">
        <v>12</v>
      </c>
      <c r="G554" t="s">
        <v>12</v>
      </c>
      <c r="H554">
        <v>6999</v>
      </c>
      <c r="I554">
        <v>48</v>
      </c>
      <c r="J554" t="s">
        <v>13</v>
      </c>
      <c r="K554" t="str">
        <f>IF(AND(credit[[#This Row],[Credit amount]]&gt;9000,credit[[#This Row],[Saving accounts]]="little"),"High","Low")</f>
        <v>Low</v>
      </c>
    </row>
    <row r="555" spans="1:11" x14ac:dyDescent="0.25">
      <c r="A555">
        <v>27</v>
      </c>
      <c r="B555" s="13" t="str" cm="1">
        <f t="array" ref="B555">_xlfn.IFS(credit[[#This Row],[Age]]&lt;=25,"18-25",credit[[#This Row],[Age]]&lt;=35,"26-35",credit[[#This Row],[Age]]&lt;=45,"36-45",credit[[#This Row],[Age]]&lt;=60,"46-60",TRUE,"60+")</f>
        <v>26-35</v>
      </c>
      <c r="C555" t="s">
        <v>9</v>
      </c>
      <c r="D555">
        <v>2</v>
      </c>
      <c r="E555" t="s">
        <v>10</v>
      </c>
      <c r="F555" t="s">
        <v>15</v>
      </c>
      <c r="G555" t="s">
        <v>15</v>
      </c>
      <c r="H555">
        <v>1995</v>
      </c>
      <c r="I555">
        <v>12</v>
      </c>
      <c r="J555" t="s">
        <v>19</v>
      </c>
      <c r="K555" t="str">
        <f>IF(AND(credit[[#This Row],[Credit amount]]&gt;9000,credit[[#This Row],[Saving accounts]]="little"),"High","Low")</f>
        <v>Low</v>
      </c>
    </row>
    <row r="556" spans="1:11" x14ac:dyDescent="0.25">
      <c r="A556">
        <v>67</v>
      </c>
      <c r="B556" s="13" t="str" cm="1">
        <f t="array" ref="B556">_xlfn.IFS(credit[[#This Row],[Age]]&lt;=25,"18-25",credit[[#This Row],[Age]]&lt;=35,"26-35",credit[[#This Row],[Age]]&lt;=45,"36-45",credit[[#This Row],[Age]]&lt;=60,"46-60",TRUE,"60+")</f>
        <v>60+</v>
      </c>
      <c r="C556" t="s">
        <v>14</v>
      </c>
      <c r="D556">
        <v>3</v>
      </c>
      <c r="E556" t="s">
        <v>10</v>
      </c>
      <c r="F556" t="s">
        <v>12</v>
      </c>
      <c r="G556" t="s">
        <v>15</v>
      </c>
      <c r="H556">
        <v>1199</v>
      </c>
      <c r="I556">
        <v>9</v>
      </c>
      <c r="J556" t="s">
        <v>16</v>
      </c>
      <c r="K556" t="str">
        <f>IF(AND(credit[[#This Row],[Credit amount]]&gt;9000,credit[[#This Row],[Saving accounts]]="little"),"High","Low")</f>
        <v>Low</v>
      </c>
    </row>
    <row r="557" spans="1:11" x14ac:dyDescent="0.25">
      <c r="A557">
        <v>22</v>
      </c>
      <c r="B557" s="13" t="str" cm="1">
        <f t="array" ref="B557">_xlfn.IFS(credit[[#This Row],[Age]]&lt;=25,"18-25",credit[[#This Row],[Age]]&lt;=35,"26-35",credit[[#This Row],[Age]]&lt;=45,"36-45",credit[[#This Row],[Age]]&lt;=60,"46-60",TRUE,"60+")</f>
        <v>18-25</v>
      </c>
      <c r="C557" t="s">
        <v>9</v>
      </c>
      <c r="D557">
        <v>2</v>
      </c>
      <c r="E557" t="s">
        <v>10</v>
      </c>
      <c r="F557" t="s">
        <v>12</v>
      </c>
      <c r="G557" t="s">
        <v>15</v>
      </c>
      <c r="H557">
        <v>1331</v>
      </c>
      <c r="I557">
        <v>12</v>
      </c>
      <c r="J557" t="s">
        <v>13</v>
      </c>
      <c r="K557" t="str">
        <f>IF(AND(credit[[#This Row],[Credit amount]]&gt;9000,credit[[#This Row],[Saving accounts]]="little"),"High","Low")</f>
        <v>Low</v>
      </c>
    </row>
    <row r="558" spans="1:11" x14ac:dyDescent="0.25">
      <c r="A558">
        <v>28</v>
      </c>
      <c r="B558" s="13" t="str" cm="1">
        <f t="array" ref="B558">_xlfn.IFS(credit[[#This Row],[Age]]&lt;=25,"18-25",credit[[#This Row],[Age]]&lt;=35,"26-35",credit[[#This Row],[Age]]&lt;=45,"36-45",credit[[#This Row],[Age]]&lt;=60,"46-60",TRUE,"60+")</f>
        <v>26-35</v>
      </c>
      <c r="C558" t="s">
        <v>14</v>
      </c>
      <c r="D558">
        <v>2</v>
      </c>
      <c r="E558" t="s">
        <v>10</v>
      </c>
      <c r="F558" t="s">
        <v>15</v>
      </c>
      <c r="G558" t="s">
        <v>15</v>
      </c>
      <c r="H558">
        <v>2278</v>
      </c>
      <c r="I558">
        <v>18</v>
      </c>
      <c r="J558" t="s">
        <v>19</v>
      </c>
      <c r="K558" t="str">
        <f>IF(AND(credit[[#This Row],[Credit amount]]&gt;9000,credit[[#This Row],[Saving accounts]]="little"),"High","Low")</f>
        <v>Low</v>
      </c>
    </row>
    <row r="559" spans="1:11" x14ac:dyDescent="0.25">
      <c r="A559">
        <v>29</v>
      </c>
      <c r="B559" s="13" t="str" cm="1">
        <f t="array" ref="B559">_xlfn.IFS(credit[[#This Row],[Age]]&lt;=25,"18-25",credit[[#This Row],[Age]]&lt;=35,"26-35",credit[[#This Row],[Age]]&lt;=45,"36-45",credit[[#This Row],[Age]]&lt;=60,"46-60",TRUE,"60+")</f>
        <v>26-35</v>
      </c>
      <c r="C559" t="s">
        <v>14</v>
      </c>
      <c r="D559">
        <v>2</v>
      </c>
      <c r="E559" t="s">
        <v>10</v>
      </c>
      <c r="F559" t="s">
        <v>11</v>
      </c>
      <c r="G559" t="s">
        <v>11</v>
      </c>
      <c r="H559">
        <v>5003</v>
      </c>
      <c r="I559">
        <v>21</v>
      </c>
      <c r="J559" t="s">
        <v>19</v>
      </c>
      <c r="K559" t="str">
        <f>IF(AND(credit[[#This Row],[Credit amount]]&gt;9000,credit[[#This Row],[Saving accounts]]="little"),"High","Low")</f>
        <v>Low</v>
      </c>
    </row>
    <row r="560" spans="1:11" x14ac:dyDescent="0.25">
      <c r="A560">
        <v>27</v>
      </c>
      <c r="B560" s="13" t="str" cm="1">
        <f t="array" ref="B560">_xlfn.IFS(credit[[#This Row],[Age]]&lt;=25,"18-25",credit[[#This Row],[Age]]&lt;=35,"26-35",credit[[#This Row],[Age]]&lt;=45,"36-45",credit[[#This Row],[Age]]&lt;=60,"46-60",TRUE,"60+")</f>
        <v>26-35</v>
      </c>
      <c r="C560" t="s">
        <v>9</v>
      </c>
      <c r="D560">
        <v>2</v>
      </c>
      <c r="E560" t="s">
        <v>10</v>
      </c>
      <c r="F560" t="s">
        <v>12</v>
      </c>
      <c r="G560" t="s">
        <v>12</v>
      </c>
      <c r="H560">
        <v>3552</v>
      </c>
      <c r="I560">
        <v>24</v>
      </c>
      <c r="J560" t="s">
        <v>18</v>
      </c>
      <c r="K560" t="str">
        <f>IF(AND(credit[[#This Row],[Credit amount]]&gt;9000,credit[[#This Row],[Saving accounts]]="little"),"High","Low")</f>
        <v>Low</v>
      </c>
    </row>
    <row r="561" spans="1:11" x14ac:dyDescent="0.25">
      <c r="A561">
        <v>31</v>
      </c>
      <c r="B561" s="13" t="str" cm="1">
        <f t="array" ref="B561">_xlfn.IFS(credit[[#This Row],[Age]]&lt;=25,"18-25",credit[[#This Row],[Age]]&lt;=35,"26-35",credit[[#This Row],[Age]]&lt;=45,"36-45",credit[[#This Row],[Age]]&lt;=60,"46-60",TRUE,"60+")</f>
        <v>26-35</v>
      </c>
      <c r="C561" t="s">
        <v>9</v>
      </c>
      <c r="D561">
        <v>1</v>
      </c>
      <c r="E561" t="s">
        <v>10</v>
      </c>
      <c r="F561" t="s">
        <v>12</v>
      </c>
      <c r="G561" t="s">
        <v>15</v>
      </c>
      <c r="H561">
        <v>1928</v>
      </c>
      <c r="I561">
        <v>18</v>
      </c>
      <c r="J561" t="s">
        <v>18</v>
      </c>
      <c r="K561" t="str">
        <f>IF(AND(credit[[#This Row],[Credit amount]]&gt;9000,credit[[#This Row],[Saving accounts]]="little"),"High","Low")</f>
        <v>Low</v>
      </c>
    </row>
    <row r="562" spans="1:11" x14ac:dyDescent="0.25">
      <c r="A562">
        <v>49</v>
      </c>
      <c r="B562" s="13" t="str" cm="1">
        <f t="array" ref="B562">_xlfn.IFS(credit[[#This Row],[Age]]&lt;=25,"18-25",credit[[#This Row],[Age]]&lt;=35,"26-35",credit[[#This Row],[Age]]&lt;=45,"36-45",credit[[#This Row],[Age]]&lt;=60,"46-60",TRUE,"60+")</f>
        <v>46-60</v>
      </c>
      <c r="C562" t="s">
        <v>9</v>
      </c>
      <c r="D562">
        <v>2</v>
      </c>
      <c r="E562" t="s">
        <v>17</v>
      </c>
      <c r="F562" t="s">
        <v>11</v>
      </c>
      <c r="G562" t="s">
        <v>12</v>
      </c>
      <c r="H562">
        <v>2964</v>
      </c>
      <c r="I562">
        <v>24</v>
      </c>
      <c r="J562" t="s">
        <v>19</v>
      </c>
      <c r="K562" t="str">
        <f>IF(AND(credit[[#This Row],[Credit amount]]&gt;9000,credit[[#This Row],[Saving accounts]]="little"),"High","Low")</f>
        <v>Low</v>
      </c>
    </row>
    <row r="563" spans="1:11" x14ac:dyDescent="0.25">
      <c r="A563">
        <v>24</v>
      </c>
      <c r="B563" s="13" t="str" cm="1">
        <f t="array" ref="B563">_xlfn.IFS(credit[[#This Row],[Age]]&lt;=25,"18-25",credit[[#This Row],[Age]]&lt;=35,"26-35",credit[[#This Row],[Age]]&lt;=45,"36-45",credit[[#This Row],[Age]]&lt;=60,"46-60",TRUE,"60+")</f>
        <v>18-25</v>
      </c>
      <c r="C563" t="s">
        <v>9</v>
      </c>
      <c r="D563">
        <v>1</v>
      </c>
      <c r="E563" t="s">
        <v>21</v>
      </c>
      <c r="F563" t="s">
        <v>12</v>
      </c>
      <c r="G563" t="s">
        <v>12</v>
      </c>
      <c r="H563">
        <v>1546</v>
      </c>
      <c r="I563">
        <v>24</v>
      </c>
      <c r="J563" t="s">
        <v>13</v>
      </c>
      <c r="K563" t="str">
        <f>IF(AND(credit[[#This Row],[Credit amount]]&gt;9000,credit[[#This Row],[Saving accounts]]="little"),"High","Low")</f>
        <v>Low</v>
      </c>
    </row>
    <row r="564" spans="1:11" x14ac:dyDescent="0.25">
      <c r="A564">
        <v>29</v>
      </c>
      <c r="B564" s="13" t="str" cm="1">
        <f t="array" ref="B564">_xlfn.IFS(credit[[#This Row],[Age]]&lt;=25,"18-25",credit[[#This Row],[Age]]&lt;=35,"26-35",credit[[#This Row],[Age]]&lt;=45,"36-45",credit[[#This Row],[Age]]&lt;=60,"46-60",TRUE,"60+")</f>
        <v>26-35</v>
      </c>
      <c r="C564" t="s">
        <v>14</v>
      </c>
      <c r="D564">
        <v>2</v>
      </c>
      <c r="E564" t="s">
        <v>10</v>
      </c>
      <c r="F564" t="s">
        <v>12</v>
      </c>
      <c r="G564" t="s">
        <v>22</v>
      </c>
      <c r="H564">
        <v>683</v>
      </c>
      <c r="I564">
        <v>6</v>
      </c>
      <c r="J564" t="s">
        <v>13</v>
      </c>
      <c r="K564" t="str">
        <f>IF(AND(credit[[#This Row],[Credit amount]]&gt;9000,credit[[#This Row],[Saving accounts]]="little"),"High","Low")</f>
        <v>Low</v>
      </c>
    </row>
    <row r="565" spans="1:11" x14ac:dyDescent="0.25">
      <c r="A565">
        <v>37</v>
      </c>
      <c r="B565" s="13" t="str" cm="1">
        <f t="array" ref="B565">_xlfn.IFS(credit[[#This Row],[Age]]&lt;=25,"18-25",credit[[#This Row],[Age]]&lt;=35,"26-35",credit[[#This Row],[Age]]&lt;=45,"36-45",credit[[#This Row],[Age]]&lt;=60,"46-60",TRUE,"60+")</f>
        <v>36-45</v>
      </c>
      <c r="C565" t="s">
        <v>9</v>
      </c>
      <c r="D565">
        <v>2</v>
      </c>
      <c r="E565" t="s">
        <v>17</v>
      </c>
      <c r="F565" t="s">
        <v>11</v>
      </c>
      <c r="G565" t="s">
        <v>15</v>
      </c>
      <c r="H565">
        <v>12389</v>
      </c>
      <c r="I565">
        <v>36</v>
      </c>
      <c r="J565" t="s">
        <v>19</v>
      </c>
      <c r="K565" t="str">
        <f>IF(AND(credit[[#This Row],[Credit amount]]&gt;9000,credit[[#This Row],[Saving accounts]]="little"),"High","Low")</f>
        <v>Low</v>
      </c>
    </row>
    <row r="566" spans="1:11" x14ac:dyDescent="0.25">
      <c r="A566">
        <v>37</v>
      </c>
      <c r="B566" s="13" t="str" cm="1">
        <f t="array" ref="B566">_xlfn.IFS(credit[[#This Row],[Age]]&lt;=25,"18-25",credit[[#This Row],[Age]]&lt;=35,"26-35",credit[[#This Row],[Age]]&lt;=45,"36-45",credit[[#This Row],[Age]]&lt;=60,"46-60",TRUE,"60+")</f>
        <v>36-45</v>
      </c>
      <c r="C566" t="s">
        <v>9</v>
      </c>
      <c r="D566">
        <v>3</v>
      </c>
      <c r="E566" t="s">
        <v>10</v>
      </c>
      <c r="F566" t="s">
        <v>11</v>
      </c>
      <c r="G566" t="s">
        <v>15</v>
      </c>
      <c r="H566">
        <v>4712</v>
      </c>
      <c r="I566">
        <v>24</v>
      </c>
      <c r="J566" t="s">
        <v>23</v>
      </c>
      <c r="K566" t="str">
        <f>IF(AND(credit[[#This Row],[Credit amount]]&gt;9000,credit[[#This Row],[Saving accounts]]="little"),"High","Low")</f>
        <v>Low</v>
      </c>
    </row>
    <row r="567" spans="1:11" x14ac:dyDescent="0.25">
      <c r="A567">
        <v>23</v>
      </c>
      <c r="B567" s="13" t="str" cm="1">
        <f t="array" ref="B567">_xlfn.IFS(credit[[#This Row],[Age]]&lt;=25,"18-25",credit[[#This Row],[Age]]&lt;=35,"26-35",credit[[#This Row],[Age]]&lt;=45,"36-45",credit[[#This Row],[Age]]&lt;=60,"46-60",TRUE,"60+")</f>
        <v>18-25</v>
      </c>
      <c r="C567" t="s">
        <v>14</v>
      </c>
      <c r="D567">
        <v>2</v>
      </c>
      <c r="E567" t="s">
        <v>21</v>
      </c>
      <c r="F567" t="s">
        <v>15</v>
      </c>
      <c r="G567" t="s">
        <v>15</v>
      </c>
      <c r="H567">
        <v>1553</v>
      </c>
      <c r="I567">
        <v>24</v>
      </c>
      <c r="J567" t="s">
        <v>13</v>
      </c>
      <c r="K567" t="str">
        <f>IF(AND(credit[[#This Row],[Credit amount]]&gt;9000,credit[[#This Row],[Saving accounts]]="little"),"High","Low")</f>
        <v>Low</v>
      </c>
    </row>
    <row r="568" spans="1:11" x14ac:dyDescent="0.25">
      <c r="A568">
        <v>36</v>
      </c>
      <c r="B568" s="13" t="str" cm="1">
        <f t="array" ref="B568">_xlfn.IFS(credit[[#This Row],[Age]]&lt;=25,"18-25",credit[[#This Row],[Age]]&lt;=35,"26-35",credit[[#This Row],[Age]]&lt;=45,"36-45",credit[[#This Row],[Age]]&lt;=60,"46-60",TRUE,"60+")</f>
        <v>36-45</v>
      </c>
      <c r="C568" t="s">
        <v>9</v>
      </c>
      <c r="D568">
        <v>2</v>
      </c>
      <c r="E568" t="s">
        <v>10</v>
      </c>
      <c r="F568" t="s">
        <v>12</v>
      </c>
      <c r="G568" t="s">
        <v>12</v>
      </c>
      <c r="H568">
        <v>1372</v>
      </c>
      <c r="I568">
        <v>12</v>
      </c>
      <c r="J568" t="s">
        <v>19</v>
      </c>
      <c r="K568" t="str">
        <f>IF(AND(credit[[#This Row],[Credit amount]]&gt;9000,credit[[#This Row],[Saving accounts]]="little"),"High","Low")</f>
        <v>Low</v>
      </c>
    </row>
    <row r="569" spans="1:11" x14ac:dyDescent="0.25">
      <c r="A569">
        <v>34</v>
      </c>
      <c r="B569" s="13" t="str" cm="1">
        <f t="array" ref="B569">_xlfn.IFS(credit[[#This Row],[Age]]&lt;=25,"18-25",credit[[#This Row],[Age]]&lt;=35,"26-35",credit[[#This Row],[Age]]&lt;=45,"36-45",credit[[#This Row],[Age]]&lt;=60,"46-60",TRUE,"60+")</f>
        <v>26-35</v>
      </c>
      <c r="C569" t="s">
        <v>9</v>
      </c>
      <c r="D569">
        <v>2</v>
      </c>
      <c r="E569" t="s">
        <v>10</v>
      </c>
      <c r="F569" t="s">
        <v>22</v>
      </c>
      <c r="G569" t="s">
        <v>11</v>
      </c>
      <c r="H569">
        <v>2578</v>
      </c>
      <c r="I569">
        <v>24</v>
      </c>
      <c r="J569" t="s">
        <v>13</v>
      </c>
      <c r="K569" t="str">
        <f>IF(AND(credit[[#This Row],[Credit amount]]&gt;9000,credit[[#This Row],[Saving accounts]]="little"),"High","Low")</f>
        <v>Low</v>
      </c>
    </row>
    <row r="570" spans="1:11" x14ac:dyDescent="0.25">
      <c r="A570">
        <v>41</v>
      </c>
      <c r="B570" s="13" t="str" cm="1">
        <f t="array" ref="B570">_xlfn.IFS(credit[[#This Row],[Age]]&lt;=25,"18-25",credit[[#This Row],[Age]]&lt;=35,"26-35",credit[[#This Row],[Age]]&lt;=45,"36-45",credit[[#This Row],[Age]]&lt;=60,"46-60",TRUE,"60+")</f>
        <v>36-45</v>
      </c>
      <c r="C570" t="s">
        <v>9</v>
      </c>
      <c r="D570">
        <v>2</v>
      </c>
      <c r="E570" t="s">
        <v>10</v>
      </c>
      <c r="F570" t="s">
        <v>11</v>
      </c>
      <c r="G570" t="s">
        <v>15</v>
      </c>
      <c r="H570">
        <v>3979</v>
      </c>
      <c r="I570">
        <v>48</v>
      </c>
      <c r="J570" t="s">
        <v>13</v>
      </c>
      <c r="K570" t="str">
        <f>IF(AND(credit[[#This Row],[Credit amount]]&gt;9000,credit[[#This Row],[Saving accounts]]="little"),"High","Low")</f>
        <v>Low</v>
      </c>
    </row>
    <row r="571" spans="1:11" x14ac:dyDescent="0.25">
      <c r="A571">
        <v>31</v>
      </c>
      <c r="B571" s="13" t="str" cm="1">
        <f t="array" ref="B571">_xlfn.IFS(credit[[#This Row],[Age]]&lt;=25,"18-25",credit[[#This Row],[Age]]&lt;=35,"26-35",credit[[#This Row],[Age]]&lt;=45,"36-45",credit[[#This Row],[Age]]&lt;=60,"46-60",TRUE,"60+")</f>
        <v>26-35</v>
      </c>
      <c r="C571" t="s">
        <v>14</v>
      </c>
      <c r="D571">
        <v>2</v>
      </c>
      <c r="E571" t="s">
        <v>10</v>
      </c>
      <c r="F571" t="s">
        <v>12</v>
      </c>
      <c r="G571" t="s">
        <v>12</v>
      </c>
      <c r="H571">
        <v>6758</v>
      </c>
      <c r="I571">
        <v>48</v>
      </c>
      <c r="J571" t="s">
        <v>13</v>
      </c>
      <c r="K571" t="str">
        <f>IF(AND(credit[[#This Row],[Credit amount]]&gt;9000,credit[[#This Row],[Saving accounts]]="little"),"High","Low")</f>
        <v>Low</v>
      </c>
    </row>
    <row r="572" spans="1:11" x14ac:dyDescent="0.25">
      <c r="A572">
        <v>23</v>
      </c>
      <c r="B572" s="13" t="str" cm="1">
        <f t="array" ref="B572">_xlfn.IFS(credit[[#This Row],[Age]]&lt;=25,"18-25",credit[[#This Row],[Age]]&lt;=35,"26-35",credit[[#This Row],[Age]]&lt;=45,"36-45",credit[[#This Row],[Age]]&lt;=60,"46-60",TRUE,"60+")</f>
        <v>18-25</v>
      </c>
      <c r="C572" t="s">
        <v>14</v>
      </c>
      <c r="D572">
        <v>1</v>
      </c>
      <c r="E572" t="s">
        <v>21</v>
      </c>
      <c r="F572" t="s">
        <v>12</v>
      </c>
      <c r="G572" t="s">
        <v>12</v>
      </c>
      <c r="H572">
        <v>3234</v>
      </c>
      <c r="I572">
        <v>24</v>
      </c>
      <c r="J572" t="s">
        <v>18</v>
      </c>
      <c r="K572" t="str">
        <f>IF(AND(credit[[#This Row],[Credit amount]]&gt;9000,credit[[#This Row],[Saving accounts]]="little"),"High","Low")</f>
        <v>Low</v>
      </c>
    </row>
    <row r="573" spans="1:11" x14ac:dyDescent="0.25">
      <c r="A573">
        <v>38</v>
      </c>
      <c r="B573" s="13" t="str" cm="1">
        <f t="array" ref="B573">_xlfn.IFS(credit[[#This Row],[Age]]&lt;=25,"18-25",credit[[#This Row],[Age]]&lt;=35,"26-35",credit[[#This Row],[Age]]&lt;=45,"36-45",credit[[#This Row],[Age]]&lt;=60,"46-60",TRUE,"60+")</f>
        <v>36-45</v>
      </c>
      <c r="C573" t="s">
        <v>9</v>
      </c>
      <c r="D573">
        <v>2</v>
      </c>
      <c r="E573" t="s">
        <v>10</v>
      </c>
      <c r="F573" t="s">
        <v>12</v>
      </c>
      <c r="G573" t="s">
        <v>11</v>
      </c>
      <c r="H573">
        <v>5954</v>
      </c>
      <c r="I573">
        <v>30</v>
      </c>
      <c r="J573" t="s">
        <v>13</v>
      </c>
      <c r="K573" t="str">
        <f>IF(AND(credit[[#This Row],[Credit amount]]&gt;9000,credit[[#This Row],[Saving accounts]]="little"),"High","Low")</f>
        <v>Low</v>
      </c>
    </row>
    <row r="574" spans="1:11" x14ac:dyDescent="0.25">
      <c r="A574">
        <v>26</v>
      </c>
      <c r="B574" s="13" t="str" cm="1">
        <f t="array" ref="B574">_xlfn.IFS(credit[[#This Row],[Age]]&lt;=25,"18-25",credit[[#This Row],[Age]]&lt;=35,"26-35",credit[[#This Row],[Age]]&lt;=45,"36-45",credit[[#This Row],[Age]]&lt;=60,"46-60",TRUE,"60+")</f>
        <v>26-35</v>
      </c>
      <c r="C574" t="s">
        <v>14</v>
      </c>
      <c r="D574">
        <v>3</v>
      </c>
      <c r="E574" t="s">
        <v>21</v>
      </c>
      <c r="F574" t="s">
        <v>11</v>
      </c>
      <c r="G574" t="s">
        <v>11</v>
      </c>
      <c r="H574">
        <v>5433</v>
      </c>
      <c r="I574">
        <v>24</v>
      </c>
      <c r="J574" t="s">
        <v>19</v>
      </c>
      <c r="K574" t="str">
        <f>IF(AND(credit[[#This Row],[Credit amount]]&gt;9000,credit[[#This Row],[Saving accounts]]="little"),"High","Low")</f>
        <v>Low</v>
      </c>
    </row>
    <row r="575" spans="1:11" x14ac:dyDescent="0.25">
      <c r="A575">
        <v>22</v>
      </c>
      <c r="B575" s="13" t="str" cm="1">
        <f t="array" ref="B575">_xlfn.IFS(credit[[#This Row],[Age]]&lt;=25,"18-25",credit[[#This Row],[Age]]&lt;=35,"26-35",credit[[#This Row],[Age]]&lt;=45,"36-45",credit[[#This Row],[Age]]&lt;=60,"46-60",TRUE,"60+")</f>
        <v>18-25</v>
      </c>
      <c r="C575" t="s">
        <v>14</v>
      </c>
      <c r="D575">
        <v>1</v>
      </c>
      <c r="E575" t="s">
        <v>10</v>
      </c>
      <c r="F575" t="s">
        <v>12</v>
      </c>
      <c r="G575" t="s">
        <v>12</v>
      </c>
      <c r="H575">
        <v>806</v>
      </c>
      <c r="I575">
        <v>15</v>
      </c>
      <c r="J575" t="s">
        <v>23</v>
      </c>
      <c r="K575" t="str">
        <f>IF(AND(credit[[#This Row],[Credit amount]]&gt;9000,credit[[#This Row],[Saving accounts]]="little"),"High","Low")</f>
        <v>Low</v>
      </c>
    </row>
    <row r="576" spans="1:11" x14ac:dyDescent="0.25">
      <c r="A576">
        <v>27</v>
      </c>
      <c r="B576" s="13" t="str" cm="1">
        <f t="array" ref="B576">_xlfn.IFS(credit[[#This Row],[Age]]&lt;=25,"18-25",credit[[#This Row],[Age]]&lt;=35,"26-35",credit[[#This Row],[Age]]&lt;=45,"36-45",credit[[#This Row],[Age]]&lt;=60,"46-60",TRUE,"60+")</f>
        <v>26-35</v>
      </c>
      <c r="C576" t="s">
        <v>9</v>
      </c>
      <c r="D576">
        <v>1</v>
      </c>
      <c r="E576" t="s">
        <v>10</v>
      </c>
      <c r="F576" t="s">
        <v>12</v>
      </c>
      <c r="G576" t="s">
        <v>15</v>
      </c>
      <c r="H576">
        <v>1082</v>
      </c>
      <c r="I576">
        <v>9</v>
      </c>
      <c r="J576" t="s">
        <v>13</v>
      </c>
      <c r="K576" t="str">
        <f>IF(AND(credit[[#This Row],[Credit amount]]&gt;9000,credit[[#This Row],[Saving accounts]]="little"),"High","Low")</f>
        <v>Low</v>
      </c>
    </row>
    <row r="577" spans="1:11" x14ac:dyDescent="0.25">
      <c r="A577">
        <v>24</v>
      </c>
      <c r="B577" s="13" t="str" cm="1">
        <f t="array" ref="B577">_xlfn.IFS(credit[[#This Row],[Age]]&lt;=25,"18-25",credit[[#This Row],[Age]]&lt;=35,"26-35",credit[[#This Row],[Age]]&lt;=45,"36-45",credit[[#This Row],[Age]]&lt;=60,"46-60",TRUE,"60+")</f>
        <v>18-25</v>
      </c>
      <c r="C577" t="s">
        <v>14</v>
      </c>
      <c r="D577">
        <v>2</v>
      </c>
      <c r="E577" t="s">
        <v>10</v>
      </c>
      <c r="F577" t="s">
        <v>12</v>
      </c>
      <c r="G577" t="s">
        <v>11</v>
      </c>
      <c r="H577">
        <v>2788</v>
      </c>
      <c r="I577">
        <v>15</v>
      </c>
      <c r="J577" t="s">
        <v>18</v>
      </c>
      <c r="K577" t="str">
        <f>IF(AND(credit[[#This Row],[Credit amount]]&gt;9000,credit[[#This Row],[Saving accounts]]="little"),"High","Low")</f>
        <v>Low</v>
      </c>
    </row>
    <row r="578" spans="1:11" x14ac:dyDescent="0.25">
      <c r="A578">
        <v>27</v>
      </c>
      <c r="B578" s="13" t="str" cm="1">
        <f t="array" ref="B578">_xlfn.IFS(credit[[#This Row],[Age]]&lt;=25,"18-25",credit[[#This Row],[Age]]&lt;=35,"26-35",credit[[#This Row],[Age]]&lt;=45,"36-45",credit[[#This Row],[Age]]&lt;=60,"46-60",TRUE,"60+")</f>
        <v>26-35</v>
      </c>
      <c r="C578" t="s">
        <v>14</v>
      </c>
      <c r="D578">
        <v>2</v>
      </c>
      <c r="E578" t="s">
        <v>10</v>
      </c>
      <c r="F578" t="s">
        <v>12</v>
      </c>
      <c r="G578" t="s">
        <v>15</v>
      </c>
      <c r="H578">
        <v>2930</v>
      </c>
      <c r="I578">
        <v>12</v>
      </c>
      <c r="J578" t="s">
        <v>13</v>
      </c>
      <c r="K578" t="str">
        <f>IF(AND(credit[[#This Row],[Credit amount]]&gt;9000,credit[[#This Row],[Saving accounts]]="little"),"High","Low")</f>
        <v>Low</v>
      </c>
    </row>
    <row r="579" spans="1:11" x14ac:dyDescent="0.25">
      <c r="A579">
        <v>33</v>
      </c>
      <c r="B579" s="13" t="str" cm="1">
        <f t="array" ref="B579">_xlfn.IFS(credit[[#This Row],[Age]]&lt;=25,"18-25",credit[[#This Row],[Age]]&lt;=35,"26-35",credit[[#This Row],[Age]]&lt;=45,"36-45",credit[[#This Row],[Age]]&lt;=60,"46-60",TRUE,"60+")</f>
        <v>26-35</v>
      </c>
      <c r="C579" t="s">
        <v>14</v>
      </c>
      <c r="D579">
        <v>2</v>
      </c>
      <c r="E579" t="s">
        <v>10</v>
      </c>
      <c r="F579" t="s">
        <v>11</v>
      </c>
      <c r="G579" t="s">
        <v>11</v>
      </c>
      <c r="H579">
        <v>1927</v>
      </c>
      <c r="I579">
        <v>24</v>
      </c>
      <c r="J579" t="s">
        <v>16</v>
      </c>
      <c r="K579" t="str">
        <f>IF(AND(credit[[#This Row],[Credit amount]]&gt;9000,credit[[#This Row],[Saving accounts]]="little"),"High","Low")</f>
        <v>Low</v>
      </c>
    </row>
    <row r="580" spans="1:11" x14ac:dyDescent="0.25">
      <c r="A580">
        <v>27</v>
      </c>
      <c r="B580" s="13" t="str" cm="1">
        <f t="array" ref="B580">_xlfn.IFS(credit[[#This Row],[Age]]&lt;=25,"18-25",credit[[#This Row],[Age]]&lt;=35,"26-35",credit[[#This Row],[Age]]&lt;=45,"36-45",credit[[#This Row],[Age]]&lt;=60,"46-60",TRUE,"60+")</f>
        <v>26-35</v>
      </c>
      <c r="C580" t="s">
        <v>9</v>
      </c>
      <c r="D580">
        <v>2</v>
      </c>
      <c r="E580" t="s">
        <v>10</v>
      </c>
      <c r="F580" t="s">
        <v>12</v>
      </c>
      <c r="G580" t="s">
        <v>15</v>
      </c>
      <c r="H580">
        <v>2820</v>
      </c>
      <c r="I580">
        <v>36</v>
      </c>
      <c r="J580" t="s">
        <v>19</v>
      </c>
      <c r="K580" t="str">
        <f>IF(AND(credit[[#This Row],[Credit amount]]&gt;9000,credit[[#This Row],[Saving accounts]]="little"),"High","Low")</f>
        <v>Low</v>
      </c>
    </row>
    <row r="581" spans="1:11" x14ac:dyDescent="0.25">
      <c r="A581">
        <v>27</v>
      </c>
      <c r="B581" s="13" t="str" cm="1">
        <f t="array" ref="B581">_xlfn.IFS(credit[[#This Row],[Age]]&lt;=25,"18-25",credit[[#This Row],[Age]]&lt;=35,"26-35",credit[[#This Row],[Age]]&lt;=45,"36-45",credit[[#This Row],[Age]]&lt;=60,"46-60",TRUE,"60+")</f>
        <v>26-35</v>
      </c>
      <c r="C581" t="s">
        <v>9</v>
      </c>
      <c r="D581">
        <v>1</v>
      </c>
      <c r="E581" t="s">
        <v>10</v>
      </c>
      <c r="F581" t="s">
        <v>12</v>
      </c>
      <c r="G581" t="s">
        <v>11</v>
      </c>
      <c r="H581">
        <v>937</v>
      </c>
      <c r="I581">
        <v>24</v>
      </c>
      <c r="J581" t="s">
        <v>16</v>
      </c>
      <c r="K581" t="str">
        <f>IF(AND(credit[[#This Row],[Credit amount]]&gt;9000,credit[[#This Row],[Saving accounts]]="little"),"High","Low")</f>
        <v>Low</v>
      </c>
    </row>
    <row r="582" spans="1:11" x14ac:dyDescent="0.25">
      <c r="A582">
        <v>30</v>
      </c>
      <c r="B582" s="13" t="str" cm="1">
        <f t="array" ref="B582">_xlfn.IFS(credit[[#This Row],[Age]]&lt;=25,"18-25",credit[[#This Row],[Age]]&lt;=35,"26-35",credit[[#This Row],[Age]]&lt;=45,"36-45",credit[[#This Row],[Age]]&lt;=60,"46-60",TRUE,"60+")</f>
        <v>26-35</v>
      </c>
      <c r="C582" t="s">
        <v>9</v>
      </c>
      <c r="D582">
        <v>2</v>
      </c>
      <c r="E582" t="s">
        <v>10</v>
      </c>
      <c r="F582" t="s">
        <v>12</v>
      </c>
      <c r="G582" t="s">
        <v>15</v>
      </c>
      <c r="H582">
        <v>1056</v>
      </c>
      <c r="I582">
        <v>18</v>
      </c>
      <c r="J582" t="s">
        <v>19</v>
      </c>
      <c r="K582" t="str">
        <f>IF(AND(credit[[#This Row],[Credit amount]]&gt;9000,credit[[#This Row],[Saving accounts]]="little"),"High","Low")</f>
        <v>Low</v>
      </c>
    </row>
    <row r="583" spans="1:11" x14ac:dyDescent="0.25">
      <c r="A583">
        <v>49</v>
      </c>
      <c r="B583" s="13" t="str" cm="1">
        <f t="array" ref="B583">_xlfn.IFS(credit[[#This Row],[Age]]&lt;=25,"18-25",credit[[#This Row],[Age]]&lt;=35,"26-35",credit[[#This Row],[Age]]&lt;=45,"36-45",credit[[#This Row],[Age]]&lt;=60,"46-60",TRUE,"60+")</f>
        <v>46-60</v>
      </c>
      <c r="C583" t="s">
        <v>9</v>
      </c>
      <c r="D583">
        <v>1</v>
      </c>
      <c r="E583" t="s">
        <v>10</v>
      </c>
      <c r="F583" t="s">
        <v>12</v>
      </c>
      <c r="G583" t="s">
        <v>15</v>
      </c>
      <c r="H583">
        <v>3124</v>
      </c>
      <c r="I583">
        <v>12</v>
      </c>
      <c r="J583" t="s">
        <v>19</v>
      </c>
      <c r="K583" t="str">
        <f>IF(AND(credit[[#This Row],[Credit amount]]&gt;9000,credit[[#This Row],[Saving accounts]]="little"),"High","Low")</f>
        <v>Low</v>
      </c>
    </row>
    <row r="584" spans="1:11" x14ac:dyDescent="0.25">
      <c r="A584">
        <v>26</v>
      </c>
      <c r="B584" s="13" t="str" cm="1">
        <f t="array" ref="B584">_xlfn.IFS(credit[[#This Row],[Age]]&lt;=25,"18-25",credit[[#This Row],[Age]]&lt;=35,"26-35",credit[[#This Row],[Age]]&lt;=45,"36-45",credit[[#This Row],[Age]]&lt;=60,"46-60",TRUE,"60+")</f>
        <v>26-35</v>
      </c>
      <c r="C584" t="s">
        <v>14</v>
      </c>
      <c r="D584">
        <v>2</v>
      </c>
      <c r="E584" t="s">
        <v>21</v>
      </c>
      <c r="F584" t="s">
        <v>12</v>
      </c>
      <c r="G584" t="s">
        <v>11</v>
      </c>
      <c r="H584">
        <v>1388</v>
      </c>
      <c r="I584">
        <v>9</v>
      </c>
      <c r="J584" t="s">
        <v>18</v>
      </c>
      <c r="K584" t="str">
        <f>IF(AND(credit[[#This Row],[Credit amount]]&gt;9000,credit[[#This Row],[Saving accounts]]="little"),"High","Low")</f>
        <v>Low</v>
      </c>
    </row>
    <row r="585" spans="1:11" x14ac:dyDescent="0.25">
      <c r="A585">
        <v>33</v>
      </c>
      <c r="B585" s="13" t="str" cm="1">
        <f t="array" ref="B585">_xlfn.IFS(credit[[#This Row],[Age]]&lt;=25,"18-25",credit[[#This Row],[Age]]&lt;=35,"26-35",credit[[#This Row],[Age]]&lt;=45,"36-45",credit[[#This Row],[Age]]&lt;=60,"46-60",TRUE,"60+")</f>
        <v>26-35</v>
      </c>
      <c r="C585" t="s">
        <v>9</v>
      </c>
      <c r="D585">
        <v>1</v>
      </c>
      <c r="E585" t="s">
        <v>21</v>
      </c>
      <c r="F585" t="s">
        <v>12</v>
      </c>
      <c r="G585" t="s">
        <v>15</v>
      </c>
      <c r="H585">
        <v>2384</v>
      </c>
      <c r="I585">
        <v>36</v>
      </c>
      <c r="J585" t="s">
        <v>25</v>
      </c>
      <c r="K585" t="str">
        <f>IF(AND(credit[[#This Row],[Credit amount]]&gt;9000,credit[[#This Row],[Saving accounts]]="little"),"High","Low")</f>
        <v>Low</v>
      </c>
    </row>
    <row r="586" spans="1:11" x14ac:dyDescent="0.25">
      <c r="A586">
        <v>52</v>
      </c>
      <c r="B586" s="13" t="str" cm="1">
        <f t="array" ref="B586">_xlfn.IFS(credit[[#This Row],[Age]]&lt;=25,"18-25",credit[[#This Row],[Age]]&lt;=35,"26-35",credit[[#This Row],[Age]]&lt;=45,"36-45",credit[[#This Row],[Age]]&lt;=60,"46-60",TRUE,"60+")</f>
        <v>46-60</v>
      </c>
      <c r="C586" t="s">
        <v>14</v>
      </c>
      <c r="D586">
        <v>3</v>
      </c>
      <c r="E586" t="s">
        <v>17</v>
      </c>
      <c r="F586" t="s">
        <v>11</v>
      </c>
      <c r="G586" t="s">
        <v>11</v>
      </c>
      <c r="H586">
        <v>2133</v>
      </c>
      <c r="I586">
        <v>12</v>
      </c>
      <c r="J586" t="s">
        <v>19</v>
      </c>
      <c r="K586" t="str">
        <f>IF(AND(credit[[#This Row],[Credit amount]]&gt;9000,credit[[#This Row],[Saving accounts]]="little"),"High","Low")</f>
        <v>Low</v>
      </c>
    </row>
    <row r="587" spans="1:11" x14ac:dyDescent="0.25">
      <c r="A587">
        <v>20</v>
      </c>
      <c r="B587" s="13" t="str" cm="1">
        <f t="array" ref="B587">_xlfn.IFS(credit[[#This Row],[Age]]&lt;=25,"18-25",credit[[#This Row],[Age]]&lt;=35,"26-35",credit[[#This Row],[Age]]&lt;=45,"36-45",credit[[#This Row],[Age]]&lt;=60,"46-60",TRUE,"60+")</f>
        <v>18-25</v>
      </c>
      <c r="C587" t="s">
        <v>14</v>
      </c>
      <c r="D587">
        <v>2</v>
      </c>
      <c r="E587" t="s">
        <v>21</v>
      </c>
      <c r="F587" t="s">
        <v>12</v>
      </c>
      <c r="G587" t="s">
        <v>12</v>
      </c>
      <c r="H587">
        <v>2039</v>
      </c>
      <c r="I587">
        <v>18</v>
      </c>
      <c r="J587" t="s">
        <v>18</v>
      </c>
      <c r="K587" t="str">
        <f>IF(AND(credit[[#This Row],[Credit amount]]&gt;9000,credit[[#This Row],[Saving accounts]]="little"),"High","Low")</f>
        <v>Low</v>
      </c>
    </row>
    <row r="588" spans="1:11" x14ac:dyDescent="0.25">
      <c r="A588">
        <v>36</v>
      </c>
      <c r="B588" s="13" t="str" cm="1">
        <f t="array" ref="B588">_xlfn.IFS(credit[[#This Row],[Age]]&lt;=25,"18-25",credit[[#This Row],[Age]]&lt;=35,"26-35",credit[[#This Row],[Age]]&lt;=45,"36-45",credit[[#This Row],[Age]]&lt;=60,"46-60",TRUE,"60+")</f>
        <v>36-45</v>
      </c>
      <c r="C588" t="s">
        <v>9</v>
      </c>
      <c r="D588">
        <v>2</v>
      </c>
      <c r="E588" t="s">
        <v>21</v>
      </c>
      <c r="F588" t="s">
        <v>12</v>
      </c>
      <c r="G588" t="s">
        <v>12</v>
      </c>
      <c r="H588">
        <v>2799</v>
      </c>
      <c r="I588">
        <v>9</v>
      </c>
      <c r="J588" t="s">
        <v>19</v>
      </c>
      <c r="K588" t="str">
        <f>IF(AND(credit[[#This Row],[Credit amount]]&gt;9000,credit[[#This Row],[Saving accounts]]="little"),"High","Low")</f>
        <v>Low</v>
      </c>
    </row>
    <row r="589" spans="1:11" x14ac:dyDescent="0.25">
      <c r="A589">
        <v>21</v>
      </c>
      <c r="B589" s="13" t="str" cm="1">
        <f t="array" ref="B589">_xlfn.IFS(credit[[#This Row],[Age]]&lt;=25,"18-25",credit[[#This Row],[Age]]&lt;=35,"26-35",credit[[#This Row],[Age]]&lt;=45,"36-45",credit[[#This Row],[Age]]&lt;=60,"46-60",TRUE,"60+")</f>
        <v>18-25</v>
      </c>
      <c r="C589" t="s">
        <v>9</v>
      </c>
      <c r="D589">
        <v>1</v>
      </c>
      <c r="E589" t="s">
        <v>10</v>
      </c>
      <c r="F589" t="s">
        <v>12</v>
      </c>
      <c r="G589" t="s">
        <v>12</v>
      </c>
      <c r="H589">
        <v>1289</v>
      </c>
      <c r="I589">
        <v>12</v>
      </c>
      <c r="J589" t="s">
        <v>18</v>
      </c>
      <c r="K589" t="str">
        <f>IF(AND(credit[[#This Row],[Credit amount]]&gt;9000,credit[[#This Row],[Saving accounts]]="little"),"High","Low")</f>
        <v>Low</v>
      </c>
    </row>
    <row r="590" spans="1:11" x14ac:dyDescent="0.25">
      <c r="A590">
        <v>47</v>
      </c>
      <c r="B590" s="13" t="str" cm="1">
        <f t="array" ref="B590">_xlfn.IFS(credit[[#This Row],[Age]]&lt;=25,"18-25",credit[[#This Row],[Age]]&lt;=35,"26-35",credit[[#This Row],[Age]]&lt;=45,"36-45",credit[[#This Row],[Age]]&lt;=60,"46-60",TRUE,"60+")</f>
        <v>46-60</v>
      </c>
      <c r="C590" t="s">
        <v>9</v>
      </c>
      <c r="D590">
        <v>1</v>
      </c>
      <c r="E590" t="s">
        <v>10</v>
      </c>
      <c r="F590" t="s">
        <v>12</v>
      </c>
      <c r="G590" t="s">
        <v>12</v>
      </c>
      <c r="H590">
        <v>1217</v>
      </c>
      <c r="I590">
        <v>18</v>
      </c>
      <c r="J590" t="s">
        <v>24</v>
      </c>
      <c r="K590" t="str">
        <f>IF(AND(credit[[#This Row],[Credit amount]]&gt;9000,credit[[#This Row],[Saving accounts]]="little"),"High","Low")</f>
        <v>Low</v>
      </c>
    </row>
    <row r="591" spans="1:11" x14ac:dyDescent="0.25">
      <c r="A591">
        <v>60</v>
      </c>
      <c r="B591" s="13" t="str" cm="1">
        <f t="array" ref="B591">_xlfn.IFS(credit[[#This Row],[Age]]&lt;=25,"18-25",credit[[#This Row],[Age]]&lt;=35,"26-35",credit[[#This Row],[Age]]&lt;=45,"36-45",credit[[#This Row],[Age]]&lt;=60,"46-60",TRUE,"60+")</f>
        <v>46-60</v>
      </c>
      <c r="C591" t="s">
        <v>9</v>
      </c>
      <c r="D591">
        <v>2</v>
      </c>
      <c r="E591" t="s">
        <v>10</v>
      </c>
      <c r="F591" t="s">
        <v>12</v>
      </c>
      <c r="G591" t="s">
        <v>12</v>
      </c>
      <c r="H591">
        <v>2246</v>
      </c>
      <c r="I591">
        <v>12</v>
      </c>
      <c r="J591" t="s">
        <v>18</v>
      </c>
      <c r="K591" t="str">
        <f>IF(AND(credit[[#This Row],[Credit amount]]&gt;9000,credit[[#This Row],[Saving accounts]]="little"),"High","Low")</f>
        <v>Low</v>
      </c>
    </row>
    <row r="592" spans="1:11" x14ac:dyDescent="0.25">
      <c r="A592">
        <v>58</v>
      </c>
      <c r="B592" s="13" t="str" cm="1">
        <f t="array" ref="B592">_xlfn.IFS(credit[[#This Row],[Age]]&lt;=25,"18-25",credit[[#This Row],[Age]]&lt;=35,"26-35",credit[[#This Row],[Age]]&lt;=45,"36-45",credit[[#This Row],[Age]]&lt;=60,"46-60",TRUE,"60+")</f>
        <v>46-60</v>
      </c>
      <c r="C592" t="s">
        <v>14</v>
      </c>
      <c r="D592">
        <v>1</v>
      </c>
      <c r="E592" t="s">
        <v>10</v>
      </c>
      <c r="F592" t="s">
        <v>12</v>
      </c>
      <c r="G592" t="s">
        <v>12</v>
      </c>
      <c r="H592">
        <v>385</v>
      </c>
      <c r="I592">
        <v>12</v>
      </c>
      <c r="J592" t="s">
        <v>13</v>
      </c>
      <c r="K592" t="str">
        <f>IF(AND(credit[[#This Row],[Credit amount]]&gt;9000,credit[[#This Row],[Saving accounts]]="little"),"High","Low")</f>
        <v>Low</v>
      </c>
    </row>
    <row r="593" spans="1:11" x14ac:dyDescent="0.25">
      <c r="A593">
        <v>42</v>
      </c>
      <c r="B593" s="13" t="str" cm="1">
        <f t="array" ref="B593">_xlfn.IFS(credit[[#This Row],[Age]]&lt;=25,"18-25",credit[[#This Row],[Age]]&lt;=35,"26-35",credit[[#This Row],[Age]]&lt;=45,"36-45",credit[[#This Row],[Age]]&lt;=60,"46-60",TRUE,"60+")</f>
        <v>36-45</v>
      </c>
      <c r="C593" t="s">
        <v>14</v>
      </c>
      <c r="D593">
        <v>2</v>
      </c>
      <c r="E593" t="s">
        <v>21</v>
      </c>
      <c r="F593" t="s">
        <v>11</v>
      </c>
      <c r="G593" t="s">
        <v>15</v>
      </c>
      <c r="H593">
        <v>1965</v>
      </c>
      <c r="I593">
        <v>24</v>
      </c>
      <c r="J593" t="s">
        <v>19</v>
      </c>
      <c r="K593" t="str">
        <f>IF(AND(credit[[#This Row],[Credit amount]]&gt;9000,credit[[#This Row],[Saving accounts]]="little"),"High","Low")</f>
        <v>Low</v>
      </c>
    </row>
    <row r="594" spans="1:11" x14ac:dyDescent="0.25">
      <c r="A594">
        <v>36</v>
      </c>
      <c r="B594" s="13" t="str" cm="1">
        <f t="array" ref="B594">_xlfn.IFS(credit[[#This Row],[Age]]&lt;=25,"18-25",credit[[#This Row],[Age]]&lt;=35,"26-35",credit[[#This Row],[Age]]&lt;=45,"36-45",credit[[#This Row],[Age]]&lt;=60,"46-60",TRUE,"60+")</f>
        <v>36-45</v>
      </c>
      <c r="C594" t="s">
        <v>14</v>
      </c>
      <c r="D594">
        <v>1</v>
      </c>
      <c r="E594" t="s">
        <v>10</v>
      </c>
      <c r="F594" t="s">
        <v>22</v>
      </c>
      <c r="G594" t="s">
        <v>11</v>
      </c>
      <c r="H594">
        <v>1572</v>
      </c>
      <c r="I594">
        <v>21</v>
      </c>
      <c r="J594" t="s">
        <v>23</v>
      </c>
      <c r="K594" t="str">
        <f>IF(AND(credit[[#This Row],[Credit amount]]&gt;9000,credit[[#This Row],[Saving accounts]]="little"),"High","Low")</f>
        <v>Low</v>
      </c>
    </row>
    <row r="595" spans="1:11" x14ac:dyDescent="0.25">
      <c r="A595">
        <v>20</v>
      </c>
      <c r="B595" s="13" t="str" cm="1">
        <f t="array" ref="B595">_xlfn.IFS(credit[[#This Row],[Age]]&lt;=25,"18-25",credit[[#This Row],[Age]]&lt;=35,"26-35",credit[[#This Row],[Age]]&lt;=45,"36-45",credit[[#This Row],[Age]]&lt;=60,"46-60",TRUE,"60+")</f>
        <v>18-25</v>
      </c>
      <c r="C595" t="s">
        <v>14</v>
      </c>
      <c r="D595">
        <v>1</v>
      </c>
      <c r="E595" t="s">
        <v>21</v>
      </c>
      <c r="F595" t="s">
        <v>12</v>
      </c>
      <c r="G595" t="s">
        <v>15</v>
      </c>
      <c r="H595">
        <v>2718</v>
      </c>
      <c r="I595">
        <v>24</v>
      </c>
      <c r="J595" t="s">
        <v>19</v>
      </c>
      <c r="K595" t="str">
        <f>IF(AND(credit[[#This Row],[Credit amount]]&gt;9000,credit[[#This Row],[Saving accounts]]="little"),"High","Low")</f>
        <v>Low</v>
      </c>
    </row>
    <row r="596" spans="1:11" x14ac:dyDescent="0.25">
      <c r="A596">
        <v>40</v>
      </c>
      <c r="B596" s="13" t="str" cm="1">
        <f t="array" ref="B596">_xlfn.IFS(credit[[#This Row],[Age]]&lt;=25,"18-25",credit[[#This Row],[Age]]&lt;=35,"26-35",credit[[#This Row],[Age]]&lt;=45,"36-45",credit[[#This Row],[Age]]&lt;=60,"46-60",TRUE,"60+")</f>
        <v>36-45</v>
      </c>
      <c r="C596" t="s">
        <v>9</v>
      </c>
      <c r="D596">
        <v>3</v>
      </c>
      <c r="E596" t="s">
        <v>10</v>
      </c>
      <c r="F596" t="s">
        <v>11</v>
      </c>
      <c r="G596" t="s">
        <v>12</v>
      </c>
      <c r="H596">
        <v>1358</v>
      </c>
      <c r="I596">
        <v>24</v>
      </c>
      <c r="J596" t="s">
        <v>26</v>
      </c>
      <c r="K596" t="str">
        <f>IF(AND(credit[[#This Row],[Credit amount]]&gt;9000,credit[[#This Row],[Saving accounts]]="little"),"High","Low")</f>
        <v>Low</v>
      </c>
    </row>
    <row r="597" spans="1:11" x14ac:dyDescent="0.25">
      <c r="A597">
        <v>32</v>
      </c>
      <c r="B597" s="13" t="str" cm="1">
        <f t="array" ref="B597">_xlfn.IFS(credit[[#This Row],[Age]]&lt;=25,"18-25",credit[[#This Row],[Age]]&lt;=35,"26-35",credit[[#This Row],[Age]]&lt;=45,"36-45",credit[[#This Row],[Age]]&lt;=60,"46-60",TRUE,"60+")</f>
        <v>26-35</v>
      </c>
      <c r="C597" t="s">
        <v>14</v>
      </c>
      <c r="D597">
        <v>1</v>
      </c>
      <c r="E597" t="s">
        <v>10</v>
      </c>
      <c r="F597" t="s">
        <v>15</v>
      </c>
      <c r="G597" t="s">
        <v>15</v>
      </c>
      <c r="H597">
        <v>931</v>
      </c>
      <c r="I597">
        <v>6</v>
      </c>
      <c r="J597" t="s">
        <v>19</v>
      </c>
      <c r="K597" t="str">
        <f>IF(AND(credit[[#This Row],[Credit amount]]&gt;9000,credit[[#This Row],[Saving accounts]]="little"),"High","Low")</f>
        <v>Low</v>
      </c>
    </row>
    <row r="598" spans="1:11" x14ac:dyDescent="0.25">
      <c r="A598">
        <v>23</v>
      </c>
      <c r="B598" s="13" t="str" cm="1">
        <f t="array" ref="B598">_xlfn.IFS(credit[[#This Row],[Age]]&lt;=25,"18-25",credit[[#This Row],[Age]]&lt;=35,"26-35",credit[[#This Row],[Age]]&lt;=45,"36-45",credit[[#This Row],[Age]]&lt;=60,"46-60",TRUE,"60+")</f>
        <v>18-25</v>
      </c>
      <c r="C598" t="s">
        <v>14</v>
      </c>
      <c r="D598">
        <v>2</v>
      </c>
      <c r="E598" t="s">
        <v>21</v>
      </c>
      <c r="F598" t="s">
        <v>12</v>
      </c>
      <c r="G598" t="s">
        <v>12</v>
      </c>
      <c r="H598">
        <v>1442</v>
      </c>
      <c r="I598">
        <v>24</v>
      </c>
      <c r="J598" t="s">
        <v>19</v>
      </c>
      <c r="K598" t="str">
        <f>IF(AND(credit[[#This Row],[Credit amount]]&gt;9000,credit[[#This Row],[Saving accounts]]="little"),"High","Low")</f>
        <v>Low</v>
      </c>
    </row>
    <row r="599" spans="1:11" x14ac:dyDescent="0.25">
      <c r="A599">
        <v>36</v>
      </c>
      <c r="B599" s="13" t="str" cm="1">
        <f t="array" ref="B599">_xlfn.IFS(credit[[#This Row],[Age]]&lt;=25,"18-25",credit[[#This Row],[Age]]&lt;=35,"26-35",credit[[#This Row],[Age]]&lt;=45,"36-45",credit[[#This Row],[Age]]&lt;=60,"46-60",TRUE,"60+")</f>
        <v>36-45</v>
      </c>
      <c r="C599" t="s">
        <v>9</v>
      </c>
      <c r="D599">
        <v>1</v>
      </c>
      <c r="E599" t="s">
        <v>10</v>
      </c>
      <c r="F599" t="s">
        <v>12</v>
      </c>
      <c r="G599" t="s">
        <v>15</v>
      </c>
      <c r="H599">
        <v>4241</v>
      </c>
      <c r="I599">
        <v>24</v>
      </c>
      <c r="J599" t="s">
        <v>23</v>
      </c>
      <c r="K599" t="str">
        <f>IF(AND(credit[[#This Row],[Credit amount]]&gt;9000,credit[[#This Row],[Saving accounts]]="little"),"High","Low")</f>
        <v>Low</v>
      </c>
    </row>
    <row r="600" spans="1:11" x14ac:dyDescent="0.25">
      <c r="A600">
        <v>31</v>
      </c>
      <c r="B600" s="13" t="str" cm="1">
        <f t="array" ref="B600">_xlfn.IFS(credit[[#This Row],[Age]]&lt;=25,"18-25",credit[[#This Row],[Age]]&lt;=35,"26-35",credit[[#This Row],[Age]]&lt;=45,"36-45",credit[[#This Row],[Age]]&lt;=60,"46-60",TRUE,"60+")</f>
        <v>26-35</v>
      </c>
      <c r="C600" t="s">
        <v>9</v>
      </c>
      <c r="D600">
        <v>2</v>
      </c>
      <c r="E600" t="s">
        <v>10</v>
      </c>
      <c r="F600" t="s">
        <v>12</v>
      </c>
      <c r="G600" t="s">
        <v>11</v>
      </c>
      <c r="H600">
        <v>2775</v>
      </c>
      <c r="I600">
        <v>18</v>
      </c>
      <c r="J600" t="s">
        <v>19</v>
      </c>
      <c r="K600" t="str">
        <f>IF(AND(credit[[#This Row],[Credit amount]]&gt;9000,credit[[#This Row],[Saving accounts]]="little"),"High","Low")</f>
        <v>Low</v>
      </c>
    </row>
    <row r="601" spans="1:11" x14ac:dyDescent="0.25">
      <c r="A601">
        <v>32</v>
      </c>
      <c r="B601" s="13" t="str" cm="1">
        <f t="array" ref="B601">_xlfn.IFS(credit[[#This Row],[Age]]&lt;=25,"18-25",credit[[#This Row],[Age]]&lt;=35,"26-35",credit[[#This Row],[Age]]&lt;=45,"36-45",credit[[#This Row],[Age]]&lt;=60,"46-60",TRUE,"60+")</f>
        <v>26-35</v>
      </c>
      <c r="C601" t="s">
        <v>9</v>
      </c>
      <c r="D601">
        <v>2</v>
      </c>
      <c r="E601" t="s">
        <v>17</v>
      </c>
      <c r="F601" t="s">
        <v>12</v>
      </c>
      <c r="G601" t="s">
        <v>11</v>
      </c>
      <c r="H601">
        <v>3863</v>
      </c>
      <c r="I601">
        <v>24</v>
      </c>
      <c r="J601" t="s">
        <v>23</v>
      </c>
      <c r="K601" t="str">
        <f>IF(AND(credit[[#This Row],[Credit amount]]&gt;9000,credit[[#This Row],[Saving accounts]]="little"),"High","Low")</f>
        <v>Low</v>
      </c>
    </row>
    <row r="602" spans="1:11" x14ac:dyDescent="0.25">
      <c r="A602">
        <v>45</v>
      </c>
      <c r="B602" s="13" t="str" cm="1">
        <f t="array" ref="B602">_xlfn.IFS(credit[[#This Row],[Age]]&lt;=25,"18-25",credit[[#This Row],[Age]]&lt;=35,"26-35",credit[[#This Row],[Age]]&lt;=45,"36-45",credit[[#This Row],[Age]]&lt;=60,"46-60",TRUE,"60+")</f>
        <v>36-45</v>
      </c>
      <c r="C602" t="s">
        <v>14</v>
      </c>
      <c r="D602">
        <v>2</v>
      </c>
      <c r="E602" t="s">
        <v>10</v>
      </c>
      <c r="F602" t="s">
        <v>12</v>
      </c>
      <c r="G602" t="s">
        <v>15</v>
      </c>
      <c r="H602">
        <v>2329</v>
      </c>
      <c r="I602">
        <v>7</v>
      </c>
      <c r="J602" t="s">
        <v>13</v>
      </c>
      <c r="K602" t="str">
        <f>IF(AND(credit[[#This Row],[Credit amount]]&gt;9000,credit[[#This Row],[Saving accounts]]="little"),"High","Low")</f>
        <v>Low</v>
      </c>
    </row>
    <row r="603" spans="1:11" x14ac:dyDescent="0.25">
      <c r="A603">
        <v>30</v>
      </c>
      <c r="B603" s="13" t="str" cm="1">
        <f t="array" ref="B603">_xlfn.IFS(credit[[#This Row],[Age]]&lt;=25,"18-25",credit[[#This Row],[Age]]&lt;=35,"26-35",credit[[#This Row],[Age]]&lt;=45,"36-45",credit[[#This Row],[Age]]&lt;=60,"46-60",TRUE,"60+")</f>
        <v>26-35</v>
      </c>
      <c r="C603" t="s">
        <v>14</v>
      </c>
      <c r="D603">
        <v>2</v>
      </c>
      <c r="E603" t="s">
        <v>10</v>
      </c>
      <c r="F603" t="s">
        <v>12</v>
      </c>
      <c r="G603" t="s">
        <v>15</v>
      </c>
      <c r="H603">
        <v>918</v>
      </c>
      <c r="I603">
        <v>9</v>
      </c>
      <c r="J603" t="s">
        <v>18</v>
      </c>
      <c r="K603" t="str">
        <f>IF(AND(credit[[#This Row],[Credit amount]]&gt;9000,credit[[#This Row],[Saving accounts]]="little"),"High","Low")</f>
        <v>Low</v>
      </c>
    </row>
    <row r="604" spans="1:11" x14ac:dyDescent="0.25">
      <c r="A604">
        <v>34</v>
      </c>
      <c r="B604" s="13" t="str" cm="1">
        <f t="array" ref="B604">_xlfn.IFS(credit[[#This Row],[Age]]&lt;=25,"18-25",credit[[#This Row],[Age]]&lt;=35,"26-35",credit[[#This Row],[Age]]&lt;=45,"36-45",credit[[#This Row],[Age]]&lt;=60,"46-60",TRUE,"60+")</f>
        <v>26-35</v>
      </c>
      <c r="C604" t="s">
        <v>14</v>
      </c>
      <c r="D604">
        <v>1</v>
      </c>
      <c r="E604" t="s">
        <v>17</v>
      </c>
      <c r="F604" t="s">
        <v>12</v>
      </c>
      <c r="G604" t="s">
        <v>15</v>
      </c>
      <c r="H604">
        <v>1837</v>
      </c>
      <c r="I604">
        <v>24</v>
      </c>
      <c r="J604" t="s">
        <v>16</v>
      </c>
      <c r="K604" t="str">
        <f>IF(AND(credit[[#This Row],[Credit amount]]&gt;9000,credit[[#This Row],[Saving accounts]]="little"),"High","Low")</f>
        <v>Low</v>
      </c>
    </row>
    <row r="605" spans="1:11" x14ac:dyDescent="0.25">
      <c r="A605">
        <v>28</v>
      </c>
      <c r="B605" s="13" t="str" cm="1">
        <f t="array" ref="B605">_xlfn.IFS(credit[[#This Row],[Age]]&lt;=25,"18-25",credit[[#This Row],[Age]]&lt;=35,"26-35",credit[[#This Row],[Age]]&lt;=45,"36-45",credit[[#This Row],[Age]]&lt;=60,"46-60",TRUE,"60+")</f>
        <v>26-35</v>
      </c>
      <c r="C605" t="s">
        <v>14</v>
      </c>
      <c r="D605">
        <v>3</v>
      </c>
      <c r="E605" t="s">
        <v>10</v>
      </c>
      <c r="F605" t="s">
        <v>12</v>
      </c>
      <c r="G605" t="s">
        <v>11</v>
      </c>
      <c r="H605">
        <v>3349</v>
      </c>
      <c r="I605">
        <v>36</v>
      </c>
      <c r="J605" t="s">
        <v>18</v>
      </c>
      <c r="K605" t="str">
        <f>IF(AND(credit[[#This Row],[Credit amount]]&gt;9000,credit[[#This Row],[Saving accounts]]="little"),"High","Low")</f>
        <v>Low</v>
      </c>
    </row>
    <row r="606" spans="1:11" x14ac:dyDescent="0.25">
      <c r="A606">
        <v>23</v>
      </c>
      <c r="B606" s="13" t="str" cm="1">
        <f t="array" ref="B606">_xlfn.IFS(credit[[#This Row],[Age]]&lt;=25,"18-25",credit[[#This Row],[Age]]&lt;=35,"26-35",credit[[#This Row],[Age]]&lt;=45,"36-45",credit[[#This Row],[Age]]&lt;=60,"46-60",TRUE,"60+")</f>
        <v>18-25</v>
      </c>
      <c r="C606" t="s">
        <v>14</v>
      </c>
      <c r="D606">
        <v>2</v>
      </c>
      <c r="E606" t="s">
        <v>10</v>
      </c>
      <c r="F606" t="s">
        <v>12</v>
      </c>
      <c r="G606" t="s">
        <v>22</v>
      </c>
      <c r="H606">
        <v>1275</v>
      </c>
      <c r="I606">
        <v>10</v>
      </c>
      <c r="J606" t="s">
        <v>18</v>
      </c>
      <c r="K606" t="str">
        <f>IF(AND(credit[[#This Row],[Credit amount]]&gt;9000,credit[[#This Row],[Saving accounts]]="little"),"High","Low")</f>
        <v>Low</v>
      </c>
    </row>
    <row r="607" spans="1:11" x14ac:dyDescent="0.25">
      <c r="A607">
        <v>22</v>
      </c>
      <c r="B607" s="13" t="str" cm="1">
        <f t="array" ref="B607">_xlfn.IFS(credit[[#This Row],[Age]]&lt;=25,"18-25",credit[[#This Row],[Age]]&lt;=35,"26-35",credit[[#This Row],[Age]]&lt;=45,"36-45",credit[[#This Row],[Age]]&lt;=60,"46-60",TRUE,"60+")</f>
        <v>18-25</v>
      </c>
      <c r="C607" t="s">
        <v>9</v>
      </c>
      <c r="D607">
        <v>2</v>
      </c>
      <c r="E607" t="s">
        <v>10</v>
      </c>
      <c r="F607" t="s">
        <v>20</v>
      </c>
      <c r="G607" t="s">
        <v>12</v>
      </c>
      <c r="H607">
        <v>2828</v>
      </c>
      <c r="I607">
        <v>24</v>
      </c>
      <c r="J607" t="s">
        <v>18</v>
      </c>
      <c r="K607" t="str">
        <f>IF(AND(credit[[#This Row],[Credit amount]]&gt;9000,credit[[#This Row],[Saving accounts]]="little"),"High","Low")</f>
        <v>Low</v>
      </c>
    </row>
    <row r="608" spans="1:11" x14ac:dyDescent="0.25">
      <c r="A608">
        <v>74</v>
      </c>
      <c r="B608" s="13" t="str" cm="1">
        <f t="array" ref="B608">_xlfn.IFS(credit[[#This Row],[Age]]&lt;=25,"18-25",credit[[#This Row],[Age]]&lt;=35,"26-35",credit[[#This Row],[Age]]&lt;=45,"36-45",credit[[#This Row],[Age]]&lt;=60,"46-60",TRUE,"60+")</f>
        <v>60+</v>
      </c>
      <c r="C608" t="s">
        <v>9</v>
      </c>
      <c r="D608">
        <v>3</v>
      </c>
      <c r="E608" t="s">
        <v>10</v>
      </c>
      <c r="F608" t="s">
        <v>12</v>
      </c>
      <c r="G608" t="s">
        <v>11</v>
      </c>
      <c r="H608">
        <v>4526</v>
      </c>
      <c r="I608">
        <v>24</v>
      </c>
      <c r="J608" t="s">
        <v>23</v>
      </c>
      <c r="K608" t="str">
        <f>IF(AND(credit[[#This Row],[Credit amount]]&gt;9000,credit[[#This Row],[Saving accounts]]="little"),"High","Low")</f>
        <v>Low</v>
      </c>
    </row>
    <row r="609" spans="1:11" x14ac:dyDescent="0.25">
      <c r="A609">
        <v>50</v>
      </c>
      <c r="B609" s="13" t="str" cm="1">
        <f t="array" ref="B609">_xlfn.IFS(credit[[#This Row],[Age]]&lt;=25,"18-25",credit[[#This Row],[Age]]&lt;=35,"26-35",credit[[#This Row],[Age]]&lt;=45,"36-45",credit[[#This Row],[Age]]&lt;=60,"46-60",TRUE,"60+")</f>
        <v>46-60</v>
      </c>
      <c r="C609" t="s">
        <v>14</v>
      </c>
      <c r="D609">
        <v>2</v>
      </c>
      <c r="E609" t="s">
        <v>17</v>
      </c>
      <c r="F609" t="s">
        <v>15</v>
      </c>
      <c r="G609" t="s">
        <v>15</v>
      </c>
      <c r="H609">
        <v>2671</v>
      </c>
      <c r="I609">
        <v>36</v>
      </c>
      <c r="J609" t="s">
        <v>13</v>
      </c>
      <c r="K609" t="str">
        <f>IF(AND(credit[[#This Row],[Credit amount]]&gt;9000,credit[[#This Row],[Saving accounts]]="little"),"High","Low")</f>
        <v>Low</v>
      </c>
    </row>
    <row r="610" spans="1:11" x14ac:dyDescent="0.25">
      <c r="A610">
        <v>33</v>
      </c>
      <c r="B610" s="13" t="str" cm="1">
        <f t="array" ref="B610">_xlfn.IFS(credit[[#This Row],[Age]]&lt;=25,"18-25",credit[[#This Row],[Age]]&lt;=35,"26-35",credit[[#This Row],[Age]]&lt;=45,"36-45",credit[[#This Row],[Age]]&lt;=60,"46-60",TRUE,"60+")</f>
        <v>26-35</v>
      </c>
      <c r="C610" t="s">
        <v>9</v>
      </c>
      <c r="D610">
        <v>2</v>
      </c>
      <c r="E610" t="s">
        <v>10</v>
      </c>
      <c r="F610" t="s">
        <v>12</v>
      </c>
      <c r="G610" t="s">
        <v>11</v>
      </c>
      <c r="H610">
        <v>2051</v>
      </c>
      <c r="I610">
        <v>18</v>
      </c>
      <c r="J610" t="s">
        <v>13</v>
      </c>
      <c r="K610" t="str">
        <f>IF(AND(credit[[#This Row],[Credit amount]]&gt;9000,credit[[#This Row],[Saving accounts]]="little"),"High","Low")</f>
        <v>Low</v>
      </c>
    </row>
    <row r="611" spans="1:11" x14ac:dyDescent="0.25">
      <c r="A611">
        <v>45</v>
      </c>
      <c r="B611" s="13" t="str" cm="1">
        <f t="array" ref="B611">_xlfn.IFS(credit[[#This Row],[Age]]&lt;=25,"18-25",credit[[#This Row],[Age]]&lt;=35,"26-35",credit[[#This Row],[Age]]&lt;=45,"36-45",credit[[#This Row],[Age]]&lt;=60,"46-60",TRUE,"60+")</f>
        <v>36-45</v>
      </c>
      <c r="C611" t="s">
        <v>9</v>
      </c>
      <c r="D611">
        <v>2</v>
      </c>
      <c r="E611" t="s">
        <v>17</v>
      </c>
      <c r="F611" t="s">
        <v>11</v>
      </c>
      <c r="G611" t="s">
        <v>11</v>
      </c>
      <c r="H611">
        <v>1300</v>
      </c>
      <c r="I611">
        <v>15</v>
      </c>
      <c r="J611" t="s">
        <v>19</v>
      </c>
      <c r="K611" t="str">
        <f>IF(AND(credit[[#This Row],[Credit amount]]&gt;9000,credit[[#This Row],[Saving accounts]]="little"),"High","Low")</f>
        <v>Low</v>
      </c>
    </row>
    <row r="612" spans="1:11" x14ac:dyDescent="0.25">
      <c r="A612">
        <v>22</v>
      </c>
      <c r="B612" s="13" t="str" cm="1">
        <f t="array" ref="B612">_xlfn.IFS(credit[[#This Row],[Age]]&lt;=25,"18-25",credit[[#This Row],[Age]]&lt;=35,"26-35",credit[[#This Row],[Age]]&lt;=45,"36-45",credit[[#This Row],[Age]]&lt;=60,"46-60",TRUE,"60+")</f>
        <v>18-25</v>
      </c>
      <c r="C612" t="s">
        <v>14</v>
      </c>
      <c r="D612">
        <v>2</v>
      </c>
      <c r="E612" t="s">
        <v>10</v>
      </c>
      <c r="F612" t="s">
        <v>15</v>
      </c>
      <c r="G612" t="s">
        <v>12</v>
      </c>
      <c r="H612">
        <v>741</v>
      </c>
      <c r="I612">
        <v>12</v>
      </c>
      <c r="J612" t="s">
        <v>24</v>
      </c>
      <c r="K612" t="str">
        <f>IF(AND(credit[[#This Row],[Credit amount]]&gt;9000,credit[[#This Row],[Saving accounts]]="little"),"High","Low")</f>
        <v>Low</v>
      </c>
    </row>
    <row r="613" spans="1:11" x14ac:dyDescent="0.25">
      <c r="A613">
        <v>48</v>
      </c>
      <c r="B613" s="13" t="str" cm="1">
        <f t="array" ref="B613">_xlfn.IFS(credit[[#This Row],[Age]]&lt;=25,"18-25",credit[[#This Row],[Age]]&lt;=35,"26-35",credit[[#This Row],[Age]]&lt;=45,"36-45",credit[[#This Row],[Age]]&lt;=60,"46-60",TRUE,"60+")</f>
        <v>46-60</v>
      </c>
      <c r="C613" t="s">
        <v>14</v>
      </c>
      <c r="D613">
        <v>1</v>
      </c>
      <c r="E613" t="s">
        <v>17</v>
      </c>
      <c r="F613" t="s">
        <v>15</v>
      </c>
      <c r="G613" t="s">
        <v>22</v>
      </c>
      <c r="H613">
        <v>1240</v>
      </c>
      <c r="I613">
        <v>10</v>
      </c>
      <c r="J613" t="s">
        <v>19</v>
      </c>
      <c r="K613" t="str">
        <f>IF(AND(credit[[#This Row],[Credit amount]]&gt;9000,credit[[#This Row],[Saving accounts]]="little"),"High","Low")</f>
        <v>Low</v>
      </c>
    </row>
    <row r="614" spans="1:11" x14ac:dyDescent="0.25">
      <c r="A614">
        <v>29</v>
      </c>
      <c r="B614" s="13" t="str" cm="1">
        <f t="array" ref="B614">_xlfn.IFS(credit[[#This Row],[Age]]&lt;=25,"18-25",credit[[#This Row],[Age]]&lt;=35,"26-35",credit[[#This Row],[Age]]&lt;=45,"36-45",credit[[#This Row],[Age]]&lt;=60,"46-60",TRUE,"60+")</f>
        <v>26-35</v>
      </c>
      <c r="C614" t="s">
        <v>14</v>
      </c>
      <c r="D614">
        <v>2</v>
      </c>
      <c r="E614" t="s">
        <v>10</v>
      </c>
      <c r="F614" t="s">
        <v>22</v>
      </c>
      <c r="G614" t="s">
        <v>12</v>
      </c>
      <c r="H614">
        <v>3357</v>
      </c>
      <c r="I614">
        <v>21</v>
      </c>
      <c r="J614" t="s">
        <v>13</v>
      </c>
      <c r="K614" t="str">
        <f>IF(AND(credit[[#This Row],[Credit amount]]&gt;9000,credit[[#This Row],[Saving accounts]]="little"),"High","Low")</f>
        <v>Low</v>
      </c>
    </row>
    <row r="615" spans="1:11" x14ac:dyDescent="0.25">
      <c r="A615">
        <v>22</v>
      </c>
      <c r="B615" s="13" t="str" cm="1">
        <f t="array" ref="B615">_xlfn.IFS(credit[[#This Row],[Age]]&lt;=25,"18-25",credit[[#This Row],[Age]]&lt;=35,"26-35",credit[[#This Row],[Age]]&lt;=45,"36-45",credit[[#This Row],[Age]]&lt;=60,"46-60",TRUE,"60+")</f>
        <v>18-25</v>
      </c>
      <c r="C615" t="s">
        <v>14</v>
      </c>
      <c r="D615">
        <v>2</v>
      </c>
      <c r="E615" t="s">
        <v>21</v>
      </c>
      <c r="F615" t="s">
        <v>12</v>
      </c>
      <c r="G615" t="s">
        <v>12</v>
      </c>
      <c r="H615">
        <v>3632</v>
      </c>
      <c r="I615">
        <v>24</v>
      </c>
      <c r="J615" t="s">
        <v>19</v>
      </c>
      <c r="K615" t="str">
        <f>IF(AND(credit[[#This Row],[Credit amount]]&gt;9000,credit[[#This Row],[Saving accounts]]="little"),"High","Low")</f>
        <v>Low</v>
      </c>
    </row>
    <row r="616" spans="1:11" x14ac:dyDescent="0.25">
      <c r="A616">
        <v>22</v>
      </c>
      <c r="B616" s="13" t="str" cm="1">
        <f t="array" ref="B616">_xlfn.IFS(credit[[#This Row],[Age]]&lt;=25,"18-25",credit[[#This Row],[Age]]&lt;=35,"26-35",credit[[#This Row],[Age]]&lt;=45,"36-45",credit[[#This Row],[Age]]&lt;=60,"46-60",TRUE,"60+")</f>
        <v>18-25</v>
      </c>
      <c r="C616" t="s">
        <v>14</v>
      </c>
      <c r="D616">
        <v>2</v>
      </c>
      <c r="E616" t="s">
        <v>10</v>
      </c>
      <c r="F616" t="s">
        <v>12</v>
      </c>
      <c r="G616" t="s">
        <v>11</v>
      </c>
      <c r="H616">
        <v>1808</v>
      </c>
      <c r="I616">
        <v>18</v>
      </c>
      <c r="J616" t="s">
        <v>18</v>
      </c>
      <c r="K616" t="str">
        <f>IF(AND(credit[[#This Row],[Credit amount]]&gt;9000,credit[[#This Row],[Saving accounts]]="little"),"High","Low")</f>
        <v>Low</v>
      </c>
    </row>
    <row r="617" spans="1:11" x14ac:dyDescent="0.25">
      <c r="A617">
        <v>48</v>
      </c>
      <c r="B617" s="13" t="str" cm="1">
        <f t="array" ref="B617">_xlfn.IFS(credit[[#This Row],[Age]]&lt;=25,"18-25",credit[[#This Row],[Age]]&lt;=35,"26-35",credit[[#This Row],[Age]]&lt;=45,"36-45",credit[[#This Row],[Age]]&lt;=60,"46-60",TRUE,"60+")</f>
        <v>46-60</v>
      </c>
      <c r="C617" t="s">
        <v>9</v>
      </c>
      <c r="D617">
        <v>3</v>
      </c>
      <c r="E617" t="s">
        <v>10</v>
      </c>
      <c r="F617" t="s">
        <v>11</v>
      </c>
      <c r="G617" t="s">
        <v>15</v>
      </c>
      <c r="H617">
        <v>12204</v>
      </c>
      <c r="I617">
        <v>48</v>
      </c>
      <c r="J617" t="s">
        <v>23</v>
      </c>
      <c r="K617" t="str">
        <f>IF(AND(credit[[#This Row],[Credit amount]]&gt;9000,credit[[#This Row],[Saving accounts]]="little"),"High","Low")</f>
        <v>Low</v>
      </c>
    </row>
    <row r="618" spans="1:11" x14ac:dyDescent="0.25">
      <c r="A618">
        <v>27</v>
      </c>
      <c r="B618" s="13" t="str" cm="1">
        <f t="array" ref="B618">_xlfn.IFS(credit[[#This Row],[Age]]&lt;=25,"18-25",credit[[#This Row],[Age]]&lt;=35,"26-35",credit[[#This Row],[Age]]&lt;=45,"36-45",credit[[#This Row],[Age]]&lt;=60,"46-60",TRUE,"60+")</f>
        <v>26-35</v>
      </c>
      <c r="C618" t="s">
        <v>9</v>
      </c>
      <c r="D618">
        <v>3</v>
      </c>
      <c r="E618" t="s">
        <v>17</v>
      </c>
      <c r="F618" t="s">
        <v>11</v>
      </c>
      <c r="G618" t="s">
        <v>15</v>
      </c>
      <c r="H618">
        <v>9157</v>
      </c>
      <c r="I618">
        <v>60</v>
      </c>
      <c r="J618" t="s">
        <v>13</v>
      </c>
      <c r="K618" t="str">
        <f>IF(AND(credit[[#This Row],[Credit amount]]&gt;9000,credit[[#This Row],[Saving accounts]]="little"),"High","Low")</f>
        <v>Low</v>
      </c>
    </row>
    <row r="619" spans="1:11" x14ac:dyDescent="0.25">
      <c r="A619">
        <v>37</v>
      </c>
      <c r="B619" s="13" t="str" cm="1">
        <f t="array" ref="B619">_xlfn.IFS(credit[[#This Row],[Age]]&lt;=25,"18-25",credit[[#This Row],[Age]]&lt;=35,"26-35",credit[[#This Row],[Age]]&lt;=45,"36-45",credit[[#This Row],[Age]]&lt;=60,"46-60",TRUE,"60+")</f>
        <v>36-45</v>
      </c>
      <c r="C619" t="s">
        <v>9</v>
      </c>
      <c r="D619">
        <v>2</v>
      </c>
      <c r="E619" t="s">
        <v>21</v>
      </c>
      <c r="F619" t="s">
        <v>12</v>
      </c>
      <c r="G619" t="s">
        <v>12</v>
      </c>
      <c r="H619">
        <v>3676</v>
      </c>
      <c r="I619">
        <v>6</v>
      </c>
      <c r="J619" t="s">
        <v>19</v>
      </c>
      <c r="K619" t="str">
        <f>IF(AND(credit[[#This Row],[Credit amount]]&gt;9000,credit[[#This Row],[Saving accounts]]="little"),"High","Low")</f>
        <v>Low</v>
      </c>
    </row>
    <row r="620" spans="1:11" x14ac:dyDescent="0.25">
      <c r="A620">
        <v>21</v>
      </c>
      <c r="B620" s="13" t="str" cm="1">
        <f t="array" ref="B620">_xlfn.IFS(credit[[#This Row],[Age]]&lt;=25,"18-25",credit[[#This Row],[Age]]&lt;=35,"26-35",credit[[#This Row],[Age]]&lt;=45,"36-45",credit[[#This Row],[Age]]&lt;=60,"46-60",TRUE,"60+")</f>
        <v>18-25</v>
      </c>
      <c r="C620" t="s">
        <v>14</v>
      </c>
      <c r="D620">
        <v>2</v>
      </c>
      <c r="E620" t="s">
        <v>21</v>
      </c>
      <c r="F620" t="s">
        <v>15</v>
      </c>
      <c r="G620" t="s">
        <v>15</v>
      </c>
      <c r="H620">
        <v>3441</v>
      </c>
      <c r="I620">
        <v>30</v>
      </c>
      <c r="J620" t="s">
        <v>18</v>
      </c>
      <c r="K620" t="str">
        <f>IF(AND(credit[[#This Row],[Credit amount]]&gt;9000,credit[[#This Row],[Saving accounts]]="little"),"High","Low")</f>
        <v>Low</v>
      </c>
    </row>
    <row r="621" spans="1:11" x14ac:dyDescent="0.25">
      <c r="A621">
        <v>49</v>
      </c>
      <c r="B621" s="13" t="str" cm="1">
        <f t="array" ref="B621">_xlfn.IFS(credit[[#This Row],[Age]]&lt;=25,"18-25",credit[[#This Row],[Age]]&lt;=35,"26-35",credit[[#This Row],[Age]]&lt;=45,"36-45",credit[[#This Row],[Age]]&lt;=60,"46-60",TRUE,"60+")</f>
        <v>46-60</v>
      </c>
      <c r="C621" t="s">
        <v>9</v>
      </c>
      <c r="D621">
        <v>1</v>
      </c>
      <c r="E621" t="s">
        <v>10</v>
      </c>
      <c r="F621" t="s">
        <v>12</v>
      </c>
      <c r="G621" t="s">
        <v>11</v>
      </c>
      <c r="H621">
        <v>640</v>
      </c>
      <c r="I621">
        <v>12</v>
      </c>
      <c r="J621" t="s">
        <v>19</v>
      </c>
      <c r="K621" t="str">
        <f>IF(AND(credit[[#This Row],[Credit amount]]&gt;9000,credit[[#This Row],[Saving accounts]]="little"),"High","Low")</f>
        <v>Low</v>
      </c>
    </row>
    <row r="622" spans="1:11" x14ac:dyDescent="0.25">
      <c r="A622">
        <v>27</v>
      </c>
      <c r="B622" s="13" t="str" cm="1">
        <f t="array" ref="B622">_xlfn.IFS(credit[[#This Row],[Age]]&lt;=25,"18-25",credit[[#This Row],[Age]]&lt;=35,"26-35",credit[[#This Row],[Age]]&lt;=45,"36-45",credit[[#This Row],[Age]]&lt;=60,"46-60",TRUE,"60+")</f>
        <v>26-35</v>
      </c>
      <c r="C622" t="s">
        <v>9</v>
      </c>
      <c r="D622">
        <v>2</v>
      </c>
      <c r="E622" t="s">
        <v>10</v>
      </c>
      <c r="F622" t="s">
        <v>12</v>
      </c>
      <c r="G622" t="s">
        <v>15</v>
      </c>
      <c r="H622">
        <v>3652</v>
      </c>
      <c r="I622">
        <v>21</v>
      </c>
      <c r="J622" t="s">
        <v>23</v>
      </c>
      <c r="K622" t="str">
        <f>IF(AND(credit[[#This Row],[Credit amount]]&gt;9000,credit[[#This Row],[Saving accounts]]="little"),"High","Low")</f>
        <v>Low</v>
      </c>
    </row>
    <row r="623" spans="1:11" x14ac:dyDescent="0.25">
      <c r="A623">
        <v>32</v>
      </c>
      <c r="B623" s="13" t="str" cm="1">
        <f t="array" ref="B623">_xlfn.IFS(credit[[#This Row],[Age]]&lt;=25,"18-25",credit[[#This Row],[Age]]&lt;=35,"26-35",credit[[#This Row],[Age]]&lt;=45,"36-45",credit[[#This Row],[Age]]&lt;=60,"46-60",TRUE,"60+")</f>
        <v>26-35</v>
      </c>
      <c r="C623" t="s">
        <v>9</v>
      </c>
      <c r="D623">
        <v>2</v>
      </c>
      <c r="E623" t="s">
        <v>10</v>
      </c>
      <c r="F623" t="s">
        <v>12</v>
      </c>
      <c r="G623" t="s">
        <v>11</v>
      </c>
      <c r="H623">
        <v>1530</v>
      </c>
      <c r="I623">
        <v>18</v>
      </c>
      <c r="J623" t="s">
        <v>19</v>
      </c>
      <c r="K623" t="str">
        <f>IF(AND(credit[[#This Row],[Credit amount]]&gt;9000,credit[[#This Row],[Saving accounts]]="little"),"High","Low")</f>
        <v>Low</v>
      </c>
    </row>
    <row r="624" spans="1:11" x14ac:dyDescent="0.25">
      <c r="A624">
        <v>38</v>
      </c>
      <c r="B624" s="13" t="str" cm="1">
        <f t="array" ref="B624">_xlfn.IFS(credit[[#This Row],[Age]]&lt;=25,"18-25",credit[[#This Row],[Age]]&lt;=35,"26-35",credit[[#This Row],[Age]]&lt;=45,"36-45",credit[[#This Row],[Age]]&lt;=60,"46-60",TRUE,"60+")</f>
        <v>36-45</v>
      </c>
      <c r="C624" t="s">
        <v>9</v>
      </c>
      <c r="D624">
        <v>2</v>
      </c>
      <c r="E624" t="s">
        <v>10</v>
      </c>
      <c r="F624" t="s">
        <v>11</v>
      </c>
      <c r="G624" t="s">
        <v>11</v>
      </c>
      <c r="H624">
        <v>3914</v>
      </c>
      <c r="I624">
        <v>48</v>
      </c>
      <c r="J624" t="s">
        <v>23</v>
      </c>
      <c r="K624" t="str">
        <f>IF(AND(credit[[#This Row],[Credit amount]]&gt;9000,credit[[#This Row],[Saving accounts]]="little"),"High","Low")</f>
        <v>Low</v>
      </c>
    </row>
    <row r="625" spans="1:11" x14ac:dyDescent="0.25">
      <c r="A625">
        <v>22</v>
      </c>
      <c r="B625" s="13" t="str" cm="1">
        <f t="array" ref="B625">_xlfn.IFS(credit[[#This Row],[Age]]&lt;=25,"18-25",credit[[#This Row],[Age]]&lt;=35,"26-35",credit[[#This Row],[Age]]&lt;=45,"36-45",credit[[#This Row],[Age]]&lt;=60,"46-60",TRUE,"60+")</f>
        <v>18-25</v>
      </c>
      <c r="C625" t="s">
        <v>14</v>
      </c>
      <c r="D625">
        <v>2</v>
      </c>
      <c r="E625" t="s">
        <v>21</v>
      </c>
      <c r="F625" t="s">
        <v>12</v>
      </c>
      <c r="G625" t="s">
        <v>12</v>
      </c>
      <c r="H625">
        <v>1858</v>
      </c>
      <c r="I625">
        <v>12</v>
      </c>
      <c r="J625" t="s">
        <v>18</v>
      </c>
      <c r="K625" t="str">
        <f>IF(AND(credit[[#This Row],[Credit amount]]&gt;9000,credit[[#This Row],[Saving accounts]]="little"),"High","Low")</f>
        <v>Low</v>
      </c>
    </row>
    <row r="626" spans="1:11" x14ac:dyDescent="0.25">
      <c r="A626">
        <v>65</v>
      </c>
      <c r="B626" s="13" t="str" cm="1">
        <f t="array" ref="B626">_xlfn.IFS(credit[[#This Row],[Age]]&lt;=25,"18-25",credit[[#This Row],[Age]]&lt;=35,"26-35",credit[[#This Row],[Age]]&lt;=45,"36-45",credit[[#This Row],[Age]]&lt;=60,"46-60",TRUE,"60+")</f>
        <v>60+</v>
      </c>
      <c r="C626" t="s">
        <v>9</v>
      </c>
      <c r="D626">
        <v>2</v>
      </c>
      <c r="E626" t="s">
        <v>17</v>
      </c>
      <c r="F626" t="s">
        <v>12</v>
      </c>
      <c r="G626" t="s">
        <v>12</v>
      </c>
      <c r="H626">
        <v>2600</v>
      </c>
      <c r="I626">
        <v>18</v>
      </c>
      <c r="J626" t="s">
        <v>13</v>
      </c>
      <c r="K626" t="str">
        <f>IF(AND(credit[[#This Row],[Credit amount]]&gt;9000,credit[[#This Row],[Saving accounts]]="little"),"High","Low")</f>
        <v>Low</v>
      </c>
    </row>
    <row r="627" spans="1:11" x14ac:dyDescent="0.25">
      <c r="A627">
        <v>35</v>
      </c>
      <c r="B627" s="13" t="str" cm="1">
        <f t="array" ref="B627">_xlfn.IFS(credit[[#This Row],[Age]]&lt;=25,"18-25",credit[[#This Row],[Age]]&lt;=35,"26-35",credit[[#This Row],[Age]]&lt;=45,"36-45",credit[[#This Row],[Age]]&lt;=60,"46-60",TRUE,"60+")</f>
        <v>26-35</v>
      </c>
      <c r="C627" t="s">
        <v>9</v>
      </c>
      <c r="D627">
        <v>2</v>
      </c>
      <c r="E627" t="s">
        <v>10</v>
      </c>
      <c r="F627" t="s">
        <v>11</v>
      </c>
      <c r="G627" t="s">
        <v>11</v>
      </c>
      <c r="H627">
        <v>1979</v>
      </c>
      <c r="I627">
        <v>15</v>
      </c>
      <c r="J627" t="s">
        <v>13</v>
      </c>
      <c r="K627" t="str">
        <f>IF(AND(credit[[#This Row],[Credit amount]]&gt;9000,credit[[#This Row],[Saving accounts]]="little"),"High","Low")</f>
        <v>Low</v>
      </c>
    </row>
    <row r="628" spans="1:11" x14ac:dyDescent="0.25">
      <c r="A628">
        <v>41</v>
      </c>
      <c r="B628" s="13" t="str" cm="1">
        <f t="array" ref="B628">_xlfn.IFS(credit[[#This Row],[Age]]&lt;=25,"18-25",credit[[#This Row],[Age]]&lt;=35,"26-35",credit[[#This Row],[Age]]&lt;=45,"36-45",credit[[#This Row],[Age]]&lt;=60,"46-60",TRUE,"60+")</f>
        <v>36-45</v>
      </c>
      <c r="C628" t="s">
        <v>9</v>
      </c>
      <c r="D628">
        <v>2</v>
      </c>
      <c r="E628" t="s">
        <v>10</v>
      </c>
      <c r="F628" t="s">
        <v>12</v>
      </c>
      <c r="G628" t="s">
        <v>22</v>
      </c>
      <c r="H628">
        <v>2116</v>
      </c>
      <c r="I628">
        <v>6</v>
      </c>
      <c r="J628" t="s">
        <v>18</v>
      </c>
      <c r="K628" t="str">
        <f>IF(AND(credit[[#This Row],[Credit amount]]&gt;9000,credit[[#This Row],[Saving accounts]]="little"),"High","Low")</f>
        <v>Low</v>
      </c>
    </row>
    <row r="629" spans="1:11" x14ac:dyDescent="0.25">
      <c r="A629">
        <v>29</v>
      </c>
      <c r="B629" s="13" t="str" cm="1">
        <f t="array" ref="B629">_xlfn.IFS(credit[[#This Row],[Age]]&lt;=25,"18-25",credit[[#This Row],[Age]]&lt;=35,"26-35",credit[[#This Row],[Age]]&lt;=45,"36-45",credit[[#This Row],[Age]]&lt;=60,"46-60",TRUE,"60+")</f>
        <v>26-35</v>
      </c>
      <c r="C629" t="s">
        <v>9</v>
      </c>
      <c r="D629">
        <v>2</v>
      </c>
      <c r="E629" t="s">
        <v>10</v>
      </c>
      <c r="F629" t="s">
        <v>15</v>
      </c>
      <c r="G629" t="s">
        <v>15</v>
      </c>
      <c r="H629">
        <v>1437</v>
      </c>
      <c r="I629">
        <v>9</v>
      </c>
      <c r="J629" t="s">
        <v>19</v>
      </c>
      <c r="K629" t="str">
        <f>IF(AND(credit[[#This Row],[Credit amount]]&gt;9000,credit[[#This Row],[Saving accounts]]="little"),"High","Low")</f>
        <v>Low</v>
      </c>
    </row>
    <row r="630" spans="1:11" x14ac:dyDescent="0.25">
      <c r="A630">
        <v>36</v>
      </c>
      <c r="B630" s="13" t="str" cm="1">
        <f t="array" ref="B630">_xlfn.IFS(credit[[#This Row],[Age]]&lt;=25,"18-25",credit[[#This Row],[Age]]&lt;=35,"26-35",credit[[#This Row],[Age]]&lt;=45,"36-45",credit[[#This Row],[Age]]&lt;=60,"46-60",TRUE,"60+")</f>
        <v>36-45</v>
      </c>
      <c r="C630" t="s">
        <v>9</v>
      </c>
      <c r="D630">
        <v>2</v>
      </c>
      <c r="E630" t="s">
        <v>10</v>
      </c>
      <c r="F630" t="s">
        <v>20</v>
      </c>
      <c r="G630" t="s">
        <v>11</v>
      </c>
      <c r="H630">
        <v>4042</v>
      </c>
      <c r="I630">
        <v>42</v>
      </c>
      <c r="J630" t="s">
        <v>18</v>
      </c>
      <c r="K630" t="str">
        <f>IF(AND(credit[[#This Row],[Credit amount]]&gt;9000,credit[[#This Row],[Saving accounts]]="little"),"High","Low")</f>
        <v>Low</v>
      </c>
    </row>
    <row r="631" spans="1:11" x14ac:dyDescent="0.25">
      <c r="A631">
        <v>64</v>
      </c>
      <c r="B631" s="13" t="str" cm="1">
        <f t="array" ref="B631">_xlfn.IFS(credit[[#This Row],[Age]]&lt;=25,"18-25",credit[[#This Row],[Age]]&lt;=35,"26-35",credit[[#This Row],[Age]]&lt;=45,"36-45",credit[[#This Row],[Age]]&lt;=60,"46-60",TRUE,"60+")</f>
        <v>60+</v>
      </c>
      <c r="C631" t="s">
        <v>9</v>
      </c>
      <c r="D631">
        <v>1</v>
      </c>
      <c r="E631" t="s">
        <v>10</v>
      </c>
      <c r="F631" t="s">
        <v>11</v>
      </c>
      <c r="G631" t="s">
        <v>11</v>
      </c>
      <c r="H631">
        <v>3832</v>
      </c>
      <c r="I631">
        <v>9</v>
      </c>
      <c r="J631" t="s">
        <v>16</v>
      </c>
      <c r="K631" t="str">
        <f>IF(AND(credit[[#This Row],[Credit amount]]&gt;9000,credit[[#This Row],[Saving accounts]]="little"),"High","Low")</f>
        <v>Low</v>
      </c>
    </row>
    <row r="632" spans="1:11" x14ac:dyDescent="0.25">
      <c r="A632">
        <v>28</v>
      </c>
      <c r="B632" s="13" t="str" cm="1">
        <f t="array" ref="B632">_xlfn.IFS(credit[[#This Row],[Age]]&lt;=25,"18-25",credit[[#This Row],[Age]]&lt;=35,"26-35",credit[[#This Row],[Age]]&lt;=45,"36-45",credit[[#This Row],[Age]]&lt;=60,"46-60",TRUE,"60+")</f>
        <v>26-35</v>
      </c>
      <c r="C632" t="s">
        <v>14</v>
      </c>
      <c r="D632">
        <v>2</v>
      </c>
      <c r="E632" t="s">
        <v>10</v>
      </c>
      <c r="F632" t="s">
        <v>12</v>
      </c>
      <c r="G632" t="s">
        <v>12</v>
      </c>
      <c r="H632">
        <v>3660</v>
      </c>
      <c r="I632">
        <v>24</v>
      </c>
      <c r="J632" t="s">
        <v>13</v>
      </c>
      <c r="K632" t="str">
        <f>IF(AND(credit[[#This Row],[Credit amount]]&gt;9000,credit[[#This Row],[Saving accounts]]="little"),"High","Low")</f>
        <v>Low</v>
      </c>
    </row>
    <row r="633" spans="1:11" x14ac:dyDescent="0.25">
      <c r="A633">
        <v>44</v>
      </c>
      <c r="B633" s="13" t="str" cm="1">
        <f t="array" ref="B633">_xlfn.IFS(credit[[#This Row],[Age]]&lt;=25,"18-25",credit[[#This Row],[Age]]&lt;=35,"26-35",credit[[#This Row],[Age]]&lt;=45,"36-45",credit[[#This Row],[Age]]&lt;=60,"46-60",TRUE,"60+")</f>
        <v>36-45</v>
      </c>
      <c r="C633" t="s">
        <v>9</v>
      </c>
      <c r="D633">
        <v>2</v>
      </c>
      <c r="E633" t="s">
        <v>10</v>
      </c>
      <c r="F633" t="s">
        <v>12</v>
      </c>
      <c r="G633" t="s">
        <v>12</v>
      </c>
      <c r="H633">
        <v>1553</v>
      </c>
      <c r="I633">
        <v>18</v>
      </c>
      <c r="J633" t="s">
        <v>18</v>
      </c>
      <c r="K633" t="str">
        <f>IF(AND(credit[[#This Row],[Credit amount]]&gt;9000,credit[[#This Row],[Saving accounts]]="little"),"High","Low")</f>
        <v>Low</v>
      </c>
    </row>
    <row r="634" spans="1:11" x14ac:dyDescent="0.25">
      <c r="A634">
        <v>23</v>
      </c>
      <c r="B634" s="13" t="str" cm="1">
        <f t="array" ref="B634">_xlfn.IFS(credit[[#This Row],[Age]]&lt;=25,"18-25",credit[[#This Row],[Age]]&lt;=35,"26-35",credit[[#This Row],[Age]]&lt;=45,"36-45",credit[[#This Row],[Age]]&lt;=60,"46-60",TRUE,"60+")</f>
        <v>18-25</v>
      </c>
      <c r="C634" t="s">
        <v>9</v>
      </c>
      <c r="D634">
        <v>2</v>
      </c>
      <c r="E634" t="s">
        <v>10</v>
      </c>
      <c r="F634" t="s">
        <v>11</v>
      </c>
      <c r="G634" t="s">
        <v>15</v>
      </c>
      <c r="H634">
        <v>1444</v>
      </c>
      <c r="I634">
        <v>15</v>
      </c>
      <c r="J634" t="s">
        <v>13</v>
      </c>
      <c r="K634" t="str">
        <f>IF(AND(credit[[#This Row],[Credit amount]]&gt;9000,credit[[#This Row],[Saving accounts]]="little"),"High","Low")</f>
        <v>Low</v>
      </c>
    </row>
    <row r="635" spans="1:11" x14ac:dyDescent="0.25">
      <c r="A635">
        <v>19</v>
      </c>
      <c r="B635" s="13" t="str" cm="1">
        <f t="array" ref="B635">_xlfn.IFS(credit[[#This Row],[Age]]&lt;=25,"18-25",credit[[#This Row],[Age]]&lt;=35,"26-35",credit[[#This Row],[Age]]&lt;=45,"36-45",credit[[#This Row],[Age]]&lt;=60,"46-60",TRUE,"60+")</f>
        <v>18-25</v>
      </c>
      <c r="C635" t="s">
        <v>14</v>
      </c>
      <c r="D635">
        <v>2</v>
      </c>
      <c r="E635" t="s">
        <v>21</v>
      </c>
      <c r="F635" t="s">
        <v>12</v>
      </c>
      <c r="G635" t="s">
        <v>11</v>
      </c>
      <c r="H635">
        <v>1980</v>
      </c>
      <c r="I635">
        <v>9</v>
      </c>
      <c r="J635" t="s">
        <v>18</v>
      </c>
      <c r="K635" t="str">
        <f>IF(AND(credit[[#This Row],[Credit amount]]&gt;9000,credit[[#This Row],[Saving accounts]]="little"),"High","Low")</f>
        <v>Low</v>
      </c>
    </row>
    <row r="636" spans="1:11" x14ac:dyDescent="0.25">
      <c r="A636">
        <v>25</v>
      </c>
      <c r="B636" s="13" t="str" cm="1">
        <f t="array" ref="B636">_xlfn.IFS(credit[[#This Row],[Age]]&lt;=25,"18-25",credit[[#This Row],[Age]]&lt;=35,"26-35",credit[[#This Row],[Age]]&lt;=45,"36-45",credit[[#This Row],[Age]]&lt;=60,"46-60",TRUE,"60+")</f>
        <v>18-25</v>
      </c>
      <c r="C636" t="s">
        <v>14</v>
      </c>
      <c r="D636">
        <v>1</v>
      </c>
      <c r="E636" t="s">
        <v>10</v>
      </c>
      <c r="F636" t="s">
        <v>12</v>
      </c>
      <c r="G636" t="s">
        <v>15</v>
      </c>
      <c r="H636">
        <v>1355</v>
      </c>
      <c r="I636">
        <v>24</v>
      </c>
      <c r="J636" t="s">
        <v>19</v>
      </c>
      <c r="K636" t="str">
        <f>IF(AND(credit[[#This Row],[Credit amount]]&gt;9000,credit[[#This Row],[Saving accounts]]="little"),"High","Low")</f>
        <v>Low</v>
      </c>
    </row>
    <row r="637" spans="1:11" x14ac:dyDescent="0.25">
      <c r="A637">
        <v>47</v>
      </c>
      <c r="B637" s="13" t="str" cm="1">
        <f t="array" ref="B637">_xlfn.IFS(credit[[#This Row],[Age]]&lt;=25,"18-25",credit[[#This Row],[Age]]&lt;=35,"26-35",credit[[#This Row],[Age]]&lt;=45,"36-45",credit[[#This Row],[Age]]&lt;=60,"46-60",TRUE,"60+")</f>
        <v>46-60</v>
      </c>
      <c r="C637" t="s">
        <v>9</v>
      </c>
      <c r="D637">
        <v>2</v>
      </c>
      <c r="E637" t="s">
        <v>10</v>
      </c>
      <c r="F637" t="s">
        <v>12</v>
      </c>
      <c r="G637" t="s">
        <v>11</v>
      </c>
      <c r="H637">
        <v>1393</v>
      </c>
      <c r="I637">
        <v>12</v>
      </c>
      <c r="J637" t="s">
        <v>16</v>
      </c>
      <c r="K637" t="str">
        <f>IF(AND(credit[[#This Row],[Credit amount]]&gt;9000,credit[[#This Row],[Saving accounts]]="little"),"High","Low")</f>
        <v>Low</v>
      </c>
    </row>
    <row r="638" spans="1:11" x14ac:dyDescent="0.25">
      <c r="A638">
        <v>28</v>
      </c>
      <c r="B638" s="13" t="str" cm="1">
        <f t="array" ref="B638">_xlfn.IFS(credit[[#This Row],[Age]]&lt;=25,"18-25",credit[[#This Row],[Age]]&lt;=35,"26-35",credit[[#This Row],[Age]]&lt;=45,"36-45",credit[[#This Row],[Age]]&lt;=60,"46-60",TRUE,"60+")</f>
        <v>26-35</v>
      </c>
      <c r="C638" t="s">
        <v>14</v>
      </c>
      <c r="D638">
        <v>2</v>
      </c>
      <c r="E638" t="s">
        <v>10</v>
      </c>
      <c r="F638" t="s">
        <v>20</v>
      </c>
      <c r="G638" t="s">
        <v>11</v>
      </c>
      <c r="H638">
        <v>1376</v>
      </c>
      <c r="I638">
        <v>24</v>
      </c>
      <c r="J638" t="s">
        <v>13</v>
      </c>
      <c r="K638" t="str">
        <f>IF(AND(credit[[#This Row],[Credit amount]]&gt;9000,credit[[#This Row],[Saving accounts]]="little"),"High","Low")</f>
        <v>Low</v>
      </c>
    </row>
    <row r="639" spans="1:11" x14ac:dyDescent="0.25">
      <c r="A639">
        <v>21</v>
      </c>
      <c r="B639" s="13" t="str" cm="1">
        <f t="array" ref="B639">_xlfn.IFS(credit[[#This Row],[Age]]&lt;=25,"18-25",credit[[#This Row],[Age]]&lt;=35,"26-35",credit[[#This Row],[Age]]&lt;=45,"36-45",credit[[#This Row],[Age]]&lt;=60,"46-60",TRUE,"60+")</f>
        <v>18-25</v>
      </c>
      <c r="C639" t="s">
        <v>9</v>
      </c>
      <c r="D639">
        <v>2</v>
      </c>
      <c r="E639" t="s">
        <v>10</v>
      </c>
      <c r="F639" t="s">
        <v>12</v>
      </c>
      <c r="G639" t="s">
        <v>11</v>
      </c>
      <c r="H639">
        <v>15653</v>
      </c>
      <c r="I639">
        <v>60</v>
      </c>
      <c r="J639" t="s">
        <v>13</v>
      </c>
      <c r="K639" t="str">
        <f>IF(AND(credit[[#This Row],[Credit amount]]&gt;9000,credit[[#This Row],[Saving accounts]]="little"),"High","Low")</f>
        <v>High</v>
      </c>
    </row>
    <row r="640" spans="1:11" x14ac:dyDescent="0.25">
      <c r="A640">
        <v>34</v>
      </c>
      <c r="B640" s="13" t="str" cm="1">
        <f t="array" ref="B640">_xlfn.IFS(credit[[#This Row],[Age]]&lt;=25,"18-25",credit[[#This Row],[Age]]&lt;=35,"26-35",credit[[#This Row],[Age]]&lt;=45,"36-45",credit[[#This Row],[Age]]&lt;=60,"46-60",TRUE,"60+")</f>
        <v>26-35</v>
      </c>
      <c r="C640" t="s">
        <v>14</v>
      </c>
      <c r="D640">
        <v>2</v>
      </c>
      <c r="E640" t="s">
        <v>10</v>
      </c>
      <c r="F640" t="s">
        <v>12</v>
      </c>
      <c r="G640" t="s">
        <v>11</v>
      </c>
      <c r="H640">
        <v>1493</v>
      </c>
      <c r="I640">
        <v>12</v>
      </c>
      <c r="J640" t="s">
        <v>13</v>
      </c>
      <c r="K640" t="str">
        <f>IF(AND(credit[[#This Row],[Credit amount]]&gt;9000,credit[[#This Row],[Saving accounts]]="little"),"High","Low")</f>
        <v>Low</v>
      </c>
    </row>
    <row r="641" spans="1:11" x14ac:dyDescent="0.25">
      <c r="A641">
        <v>26</v>
      </c>
      <c r="B641" s="13" t="str" cm="1">
        <f t="array" ref="B641">_xlfn.IFS(credit[[#This Row],[Age]]&lt;=25,"18-25",credit[[#This Row],[Age]]&lt;=35,"26-35",credit[[#This Row],[Age]]&lt;=45,"36-45",credit[[#This Row],[Age]]&lt;=60,"46-60",TRUE,"60+")</f>
        <v>26-35</v>
      </c>
      <c r="C641" t="s">
        <v>9</v>
      </c>
      <c r="D641">
        <v>2</v>
      </c>
      <c r="E641" t="s">
        <v>10</v>
      </c>
      <c r="F641" t="s">
        <v>12</v>
      </c>
      <c r="G641" t="s">
        <v>12</v>
      </c>
      <c r="H641">
        <v>4370</v>
      </c>
      <c r="I641">
        <v>42</v>
      </c>
      <c r="J641" t="s">
        <v>13</v>
      </c>
      <c r="K641" t="str">
        <f>IF(AND(credit[[#This Row],[Credit amount]]&gt;9000,credit[[#This Row],[Saving accounts]]="little"),"High","Low")</f>
        <v>Low</v>
      </c>
    </row>
    <row r="642" spans="1:11" x14ac:dyDescent="0.25">
      <c r="A642">
        <v>27</v>
      </c>
      <c r="B642" s="13" t="str" cm="1">
        <f t="array" ref="B642">_xlfn.IFS(credit[[#This Row],[Age]]&lt;=25,"18-25",credit[[#This Row],[Age]]&lt;=35,"26-35",credit[[#This Row],[Age]]&lt;=45,"36-45",credit[[#This Row],[Age]]&lt;=60,"46-60",TRUE,"60+")</f>
        <v>26-35</v>
      </c>
      <c r="C642" t="s">
        <v>14</v>
      </c>
      <c r="D642">
        <v>0</v>
      </c>
      <c r="E642" t="s">
        <v>10</v>
      </c>
      <c r="F642" t="s">
        <v>12</v>
      </c>
      <c r="G642" t="s">
        <v>12</v>
      </c>
      <c r="H642">
        <v>750</v>
      </c>
      <c r="I642">
        <v>18</v>
      </c>
      <c r="J642" t="s">
        <v>16</v>
      </c>
      <c r="K642" t="str">
        <f>IF(AND(credit[[#This Row],[Credit amount]]&gt;9000,credit[[#This Row],[Saving accounts]]="little"),"High","Low")</f>
        <v>Low</v>
      </c>
    </row>
    <row r="643" spans="1:11" x14ac:dyDescent="0.25">
      <c r="A643">
        <v>38</v>
      </c>
      <c r="B643" s="13" t="str" cm="1">
        <f t="array" ref="B643">_xlfn.IFS(credit[[#This Row],[Age]]&lt;=25,"18-25",credit[[#This Row],[Age]]&lt;=35,"26-35",credit[[#This Row],[Age]]&lt;=45,"36-45",credit[[#This Row],[Age]]&lt;=60,"46-60",TRUE,"60+")</f>
        <v>36-45</v>
      </c>
      <c r="C643" t="s">
        <v>9</v>
      </c>
      <c r="D643">
        <v>1</v>
      </c>
      <c r="E643" t="s">
        <v>10</v>
      </c>
      <c r="F643" t="s">
        <v>12</v>
      </c>
      <c r="G643" t="s">
        <v>15</v>
      </c>
      <c r="H643">
        <v>1308</v>
      </c>
      <c r="I643">
        <v>15</v>
      </c>
      <c r="J643" t="s">
        <v>25</v>
      </c>
      <c r="K643" t="str">
        <f>IF(AND(credit[[#This Row],[Credit amount]]&gt;9000,credit[[#This Row],[Saving accounts]]="little"),"High","Low")</f>
        <v>Low</v>
      </c>
    </row>
    <row r="644" spans="1:11" x14ac:dyDescent="0.25">
      <c r="A644">
        <v>40</v>
      </c>
      <c r="B644" s="13" t="str" cm="1">
        <f t="array" ref="B644">_xlfn.IFS(credit[[#This Row],[Age]]&lt;=25,"18-25",credit[[#This Row],[Age]]&lt;=35,"26-35",credit[[#This Row],[Age]]&lt;=45,"36-45",credit[[#This Row],[Age]]&lt;=60,"46-60",TRUE,"60+")</f>
        <v>36-45</v>
      </c>
      <c r="C644" t="s">
        <v>9</v>
      </c>
      <c r="D644">
        <v>3</v>
      </c>
      <c r="E644" t="s">
        <v>10</v>
      </c>
      <c r="F644" t="s">
        <v>15</v>
      </c>
      <c r="G644" t="s">
        <v>11</v>
      </c>
      <c r="H644">
        <v>4623</v>
      </c>
      <c r="I644">
        <v>15</v>
      </c>
      <c r="J644" t="s">
        <v>16</v>
      </c>
      <c r="K644" t="str">
        <f>IF(AND(credit[[#This Row],[Credit amount]]&gt;9000,credit[[#This Row],[Saving accounts]]="little"),"High","Low")</f>
        <v>Low</v>
      </c>
    </row>
    <row r="645" spans="1:11" x14ac:dyDescent="0.25">
      <c r="A645">
        <v>33</v>
      </c>
      <c r="B645" s="13" t="str" cm="1">
        <f t="array" ref="B645">_xlfn.IFS(credit[[#This Row],[Age]]&lt;=25,"18-25",credit[[#This Row],[Age]]&lt;=35,"26-35",credit[[#This Row],[Age]]&lt;=45,"36-45",credit[[#This Row],[Age]]&lt;=60,"46-60",TRUE,"60+")</f>
        <v>26-35</v>
      </c>
      <c r="C645" t="s">
        <v>9</v>
      </c>
      <c r="D645">
        <v>2</v>
      </c>
      <c r="E645" t="s">
        <v>10</v>
      </c>
      <c r="F645" t="s">
        <v>12</v>
      </c>
      <c r="G645" t="s">
        <v>11</v>
      </c>
      <c r="H645">
        <v>1851</v>
      </c>
      <c r="I645">
        <v>24</v>
      </c>
      <c r="J645" t="s">
        <v>13</v>
      </c>
      <c r="K645" t="str">
        <f>IF(AND(credit[[#This Row],[Credit amount]]&gt;9000,credit[[#This Row],[Saving accounts]]="little"),"High","Low")</f>
        <v>Low</v>
      </c>
    </row>
    <row r="646" spans="1:11" x14ac:dyDescent="0.25">
      <c r="A646">
        <v>32</v>
      </c>
      <c r="B646" s="13" t="str" cm="1">
        <f t="array" ref="B646">_xlfn.IFS(credit[[#This Row],[Age]]&lt;=25,"18-25",credit[[#This Row],[Age]]&lt;=35,"26-35",credit[[#This Row],[Age]]&lt;=45,"36-45",credit[[#This Row],[Age]]&lt;=60,"46-60",TRUE,"60+")</f>
        <v>26-35</v>
      </c>
      <c r="C646" t="s">
        <v>9</v>
      </c>
      <c r="D646">
        <v>3</v>
      </c>
      <c r="E646" t="s">
        <v>10</v>
      </c>
      <c r="F646" t="s">
        <v>12</v>
      </c>
      <c r="G646" t="s">
        <v>12</v>
      </c>
      <c r="H646">
        <v>1880</v>
      </c>
      <c r="I646">
        <v>18</v>
      </c>
      <c r="J646" t="s">
        <v>13</v>
      </c>
      <c r="K646" t="str">
        <f>IF(AND(credit[[#This Row],[Credit amount]]&gt;9000,credit[[#This Row],[Saving accounts]]="little"),"High","Low")</f>
        <v>Low</v>
      </c>
    </row>
    <row r="647" spans="1:11" x14ac:dyDescent="0.25">
      <c r="A647">
        <v>27</v>
      </c>
      <c r="B647" s="13" t="str" cm="1">
        <f t="array" ref="B647">_xlfn.IFS(credit[[#This Row],[Age]]&lt;=25,"18-25",credit[[#This Row],[Age]]&lt;=35,"26-35",credit[[#This Row],[Age]]&lt;=45,"36-45",credit[[#This Row],[Age]]&lt;=60,"46-60",TRUE,"60+")</f>
        <v>26-35</v>
      </c>
      <c r="C647" t="s">
        <v>9</v>
      </c>
      <c r="D647">
        <v>2</v>
      </c>
      <c r="E647" t="s">
        <v>21</v>
      </c>
      <c r="F647" t="s">
        <v>11</v>
      </c>
      <c r="G647" t="s">
        <v>11</v>
      </c>
      <c r="H647">
        <v>7980</v>
      </c>
      <c r="I647">
        <v>36</v>
      </c>
      <c r="J647" t="s">
        <v>23</v>
      </c>
      <c r="K647" t="str">
        <f>IF(AND(credit[[#This Row],[Credit amount]]&gt;9000,credit[[#This Row],[Saving accounts]]="little"),"High","Low")</f>
        <v>Low</v>
      </c>
    </row>
    <row r="648" spans="1:11" x14ac:dyDescent="0.25">
      <c r="A648">
        <v>32</v>
      </c>
      <c r="B648" s="13" t="str" cm="1">
        <f t="array" ref="B648">_xlfn.IFS(credit[[#This Row],[Age]]&lt;=25,"18-25",credit[[#This Row],[Age]]&lt;=35,"26-35",credit[[#This Row],[Age]]&lt;=45,"36-45",credit[[#This Row],[Age]]&lt;=60,"46-60",TRUE,"60+")</f>
        <v>26-35</v>
      </c>
      <c r="C648" t="s">
        <v>9</v>
      </c>
      <c r="D648">
        <v>2</v>
      </c>
      <c r="E648" t="s">
        <v>10</v>
      </c>
      <c r="F648" t="s">
        <v>12</v>
      </c>
      <c r="G648" t="s">
        <v>12</v>
      </c>
      <c r="H648">
        <v>4583</v>
      </c>
      <c r="I648">
        <v>30</v>
      </c>
      <c r="J648" t="s">
        <v>18</v>
      </c>
      <c r="K648" t="str">
        <f>IF(AND(credit[[#This Row],[Credit amount]]&gt;9000,credit[[#This Row],[Saving accounts]]="little"),"High","Low")</f>
        <v>Low</v>
      </c>
    </row>
    <row r="649" spans="1:11" x14ac:dyDescent="0.25">
      <c r="A649">
        <v>26</v>
      </c>
      <c r="B649" s="13" t="str" cm="1">
        <f t="array" ref="B649">_xlfn.IFS(credit[[#This Row],[Age]]&lt;=25,"18-25",credit[[#This Row],[Age]]&lt;=35,"26-35",credit[[#This Row],[Age]]&lt;=45,"36-45",credit[[#This Row],[Age]]&lt;=60,"46-60",TRUE,"60+")</f>
        <v>26-35</v>
      </c>
      <c r="C649" t="s">
        <v>14</v>
      </c>
      <c r="D649">
        <v>2</v>
      </c>
      <c r="E649" t="s">
        <v>10</v>
      </c>
      <c r="F649" t="s">
        <v>20</v>
      </c>
      <c r="G649" t="s">
        <v>11</v>
      </c>
      <c r="H649">
        <v>1386</v>
      </c>
      <c r="I649">
        <v>12</v>
      </c>
      <c r="J649" t="s">
        <v>19</v>
      </c>
      <c r="K649" t="str">
        <f>IF(AND(credit[[#This Row],[Credit amount]]&gt;9000,credit[[#This Row],[Saving accounts]]="little"),"High","Low")</f>
        <v>Low</v>
      </c>
    </row>
    <row r="650" spans="1:11" x14ac:dyDescent="0.25">
      <c r="A650">
        <v>38</v>
      </c>
      <c r="B650" s="13" t="str" cm="1">
        <f t="array" ref="B650">_xlfn.IFS(credit[[#This Row],[Age]]&lt;=25,"18-25",credit[[#This Row],[Age]]&lt;=35,"26-35",credit[[#This Row],[Age]]&lt;=45,"36-45",credit[[#This Row],[Age]]&lt;=60,"46-60",TRUE,"60+")</f>
        <v>36-45</v>
      </c>
      <c r="C650" t="s">
        <v>9</v>
      </c>
      <c r="D650">
        <v>2</v>
      </c>
      <c r="E650" t="s">
        <v>17</v>
      </c>
      <c r="F650" t="s">
        <v>12</v>
      </c>
      <c r="G650" t="s">
        <v>22</v>
      </c>
      <c r="H650">
        <v>947</v>
      </c>
      <c r="I650">
        <v>24</v>
      </c>
      <c r="J650" t="s">
        <v>19</v>
      </c>
      <c r="K650" t="str">
        <f>IF(AND(credit[[#This Row],[Credit amount]]&gt;9000,credit[[#This Row],[Saving accounts]]="little"),"High","Low")</f>
        <v>Low</v>
      </c>
    </row>
    <row r="651" spans="1:11" x14ac:dyDescent="0.25">
      <c r="A651">
        <v>40</v>
      </c>
      <c r="B651" s="13" t="str" cm="1">
        <f t="array" ref="B651">_xlfn.IFS(credit[[#This Row],[Age]]&lt;=25,"18-25",credit[[#This Row],[Age]]&lt;=35,"26-35",credit[[#This Row],[Age]]&lt;=45,"36-45",credit[[#This Row],[Age]]&lt;=60,"46-60",TRUE,"60+")</f>
        <v>36-45</v>
      </c>
      <c r="C651" t="s">
        <v>9</v>
      </c>
      <c r="D651">
        <v>1</v>
      </c>
      <c r="E651" t="s">
        <v>21</v>
      </c>
      <c r="F651" t="s">
        <v>12</v>
      </c>
      <c r="G651" t="s">
        <v>12</v>
      </c>
      <c r="H651">
        <v>684</v>
      </c>
      <c r="I651">
        <v>12</v>
      </c>
      <c r="J651" t="s">
        <v>16</v>
      </c>
      <c r="K651" t="str">
        <f>IF(AND(credit[[#This Row],[Credit amount]]&gt;9000,credit[[#This Row],[Saving accounts]]="little"),"High","Low")</f>
        <v>Low</v>
      </c>
    </row>
    <row r="652" spans="1:11" x14ac:dyDescent="0.25">
      <c r="A652">
        <v>50</v>
      </c>
      <c r="B652" s="13" t="str" cm="1">
        <f t="array" ref="B652">_xlfn.IFS(credit[[#This Row],[Age]]&lt;=25,"18-25",credit[[#This Row],[Age]]&lt;=35,"26-35",credit[[#This Row],[Age]]&lt;=45,"36-45",credit[[#This Row],[Age]]&lt;=60,"46-60",TRUE,"60+")</f>
        <v>46-60</v>
      </c>
      <c r="C652" t="s">
        <v>9</v>
      </c>
      <c r="D652">
        <v>3</v>
      </c>
      <c r="E652" t="s">
        <v>17</v>
      </c>
      <c r="F652" t="s">
        <v>12</v>
      </c>
      <c r="G652" t="s">
        <v>12</v>
      </c>
      <c r="H652">
        <v>7476</v>
      </c>
      <c r="I652">
        <v>48</v>
      </c>
      <c r="J652" t="s">
        <v>16</v>
      </c>
      <c r="K652" t="str">
        <f>IF(AND(credit[[#This Row],[Credit amount]]&gt;9000,credit[[#This Row],[Saving accounts]]="little"),"High","Low")</f>
        <v>Low</v>
      </c>
    </row>
    <row r="653" spans="1:11" x14ac:dyDescent="0.25">
      <c r="A653">
        <v>37</v>
      </c>
      <c r="B653" s="13" t="str" cm="1">
        <f t="array" ref="B653">_xlfn.IFS(credit[[#This Row],[Age]]&lt;=25,"18-25",credit[[#This Row],[Age]]&lt;=35,"26-35",credit[[#This Row],[Age]]&lt;=45,"36-45",credit[[#This Row],[Age]]&lt;=60,"46-60",TRUE,"60+")</f>
        <v>36-45</v>
      </c>
      <c r="C653" t="s">
        <v>9</v>
      </c>
      <c r="D653">
        <v>1</v>
      </c>
      <c r="E653" t="s">
        <v>10</v>
      </c>
      <c r="F653" t="s">
        <v>12</v>
      </c>
      <c r="G653" t="s">
        <v>15</v>
      </c>
      <c r="H653">
        <v>1922</v>
      </c>
      <c r="I653">
        <v>12</v>
      </c>
      <c r="J653" t="s">
        <v>18</v>
      </c>
      <c r="K653" t="str">
        <f>IF(AND(credit[[#This Row],[Credit amount]]&gt;9000,credit[[#This Row],[Saving accounts]]="little"),"High","Low")</f>
        <v>Low</v>
      </c>
    </row>
    <row r="654" spans="1:11" x14ac:dyDescent="0.25">
      <c r="A654">
        <v>45</v>
      </c>
      <c r="B654" s="13" t="str" cm="1">
        <f t="array" ref="B654">_xlfn.IFS(credit[[#This Row],[Age]]&lt;=25,"18-25",credit[[#This Row],[Age]]&lt;=35,"26-35",credit[[#This Row],[Age]]&lt;=45,"36-45",credit[[#This Row],[Age]]&lt;=60,"46-60",TRUE,"60+")</f>
        <v>36-45</v>
      </c>
      <c r="C654" t="s">
        <v>9</v>
      </c>
      <c r="D654">
        <v>2</v>
      </c>
      <c r="E654" t="s">
        <v>10</v>
      </c>
      <c r="F654" t="s">
        <v>12</v>
      </c>
      <c r="G654" t="s">
        <v>12</v>
      </c>
      <c r="H654">
        <v>2303</v>
      </c>
      <c r="I654">
        <v>24</v>
      </c>
      <c r="J654" t="s">
        <v>19</v>
      </c>
      <c r="K654" t="str">
        <f>IF(AND(credit[[#This Row],[Credit amount]]&gt;9000,credit[[#This Row],[Saving accounts]]="little"),"High","Low")</f>
        <v>Low</v>
      </c>
    </row>
    <row r="655" spans="1:11" x14ac:dyDescent="0.25">
      <c r="A655">
        <v>42</v>
      </c>
      <c r="B655" s="13" t="str" cm="1">
        <f t="array" ref="B655">_xlfn.IFS(credit[[#This Row],[Age]]&lt;=25,"18-25",credit[[#This Row],[Age]]&lt;=35,"26-35",credit[[#This Row],[Age]]&lt;=45,"36-45",credit[[#This Row],[Age]]&lt;=60,"46-60",TRUE,"60+")</f>
        <v>36-45</v>
      </c>
      <c r="C655" t="s">
        <v>9</v>
      </c>
      <c r="D655">
        <v>3</v>
      </c>
      <c r="E655" t="s">
        <v>10</v>
      </c>
      <c r="F655" t="s">
        <v>15</v>
      </c>
      <c r="G655" t="s">
        <v>15</v>
      </c>
      <c r="H655">
        <v>8086</v>
      </c>
      <c r="I655">
        <v>36</v>
      </c>
      <c r="J655" t="s">
        <v>19</v>
      </c>
      <c r="K655" t="str">
        <f>IF(AND(credit[[#This Row],[Credit amount]]&gt;9000,credit[[#This Row],[Saving accounts]]="little"),"High","Low")</f>
        <v>Low</v>
      </c>
    </row>
    <row r="656" spans="1:11" x14ac:dyDescent="0.25">
      <c r="A656">
        <v>35</v>
      </c>
      <c r="B656" s="13" t="str" cm="1">
        <f t="array" ref="B656">_xlfn.IFS(credit[[#This Row],[Age]]&lt;=25,"18-25",credit[[#This Row],[Age]]&lt;=35,"26-35",credit[[#This Row],[Age]]&lt;=45,"36-45",credit[[#This Row],[Age]]&lt;=60,"46-60",TRUE,"60+")</f>
        <v>26-35</v>
      </c>
      <c r="C656" t="s">
        <v>9</v>
      </c>
      <c r="D656">
        <v>2</v>
      </c>
      <c r="E656" t="s">
        <v>10</v>
      </c>
      <c r="F656" t="s">
        <v>12</v>
      </c>
      <c r="G656" t="s">
        <v>11</v>
      </c>
      <c r="H656">
        <v>2346</v>
      </c>
      <c r="I656">
        <v>24</v>
      </c>
      <c r="J656" t="s">
        <v>19</v>
      </c>
      <c r="K656" t="str">
        <f>IF(AND(credit[[#This Row],[Credit amount]]&gt;9000,credit[[#This Row],[Saving accounts]]="little"),"High","Low")</f>
        <v>Low</v>
      </c>
    </row>
    <row r="657" spans="1:11" x14ac:dyDescent="0.25">
      <c r="A657">
        <v>22</v>
      </c>
      <c r="B657" s="13" t="str" cm="1">
        <f t="array" ref="B657">_xlfn.IFS(credit[[#This Row],[Age]]&lt;=25,"18-25",credit[[#This Row],[Age]]&lt;=35,"26-35",credit[[#This Row],[Age]]&lt;=45,"36-45",credit[[#This Row],[Age]]&lt;=60,"46-60",TRUE,"60+")</f>
        <v>18-25</v>
      </c>
      <c r="C657" t="s">
        <v>9</v>
      </c>
      <c r="D657">
        <v>2</v>
      </c>
      <c r="E657" t="s">
        <v>17</v>
      </c>
      <c r="F657" t="s">
        <v>12</v>
      </c>
      <c r="G657" t="s">
        <v>12</v>
      </c>
      <c r="H657">
        <v>3973</v>
      </c>
      <c r="I657">
        <v>14</v>
      </c>
      <c r="J657" t="s">
        <v>19</v>
      </c>
      <c r="K657" t="str">
        <f>IF(AND(credit[[#This Row],[Credit amount]]&gt;9000,credit[[#This Row],[Saving accounts]]="little"),"High","Low")</f>
        <v>Low</v>
      </c>
    </row>
    <row r="658" spans="1:11" x14ac:dyDescent="0.25">
      <c r="A658">
        <v>41</v>
      </c>
      <c r="B658" s="13" t="str" cm="1">
        <f t="array" ref="B658">_xlfn.IFS(credit[[#This Row],[Age]]&lt;=25,"18-25",credit[[#This Row],[Age]]&lt;=35,"26-35",credit[[#This Row],[Age]]&lt;=45,"36-45",credit[[#This Row],[Age]]&lt;=60,"46-60",TRUE,"60+")</f>
        <v>36-45</v>
      </c>
      <c r="C658" t="s">
        <v>9</v>
      </c>
      <c r="D658">
        <v>1</v>
      </c>
      <c r="E658" t="s">
        <v>10</v>
      </c>
      <c r="F658" t="s">
        <v>12</v>
      </c>
      <c r="G658" t="s">
        <v>15</v>
      </c>
      <c r="H658">
        <v>888</v>
      </c>
      <c r="I658">
        <v>12</v>
      </c>
      <c r="J658" t="s">
        <v>19</v>
      </c>
      <c r="K658" t="str">
        <f>IF(AND(credit[[#This Row],[Credit amount]]&gt;9000,credit[[#This Row],[Saving accounts]]="little"),"High","Low")</f>
        <v>Low</v>
      </c>
    </row>
    <row r="659" spans="1:11" x14ac:dyDescent="0.25">
      <c r="A659">
        <v>37</v>
      </c>
      <c r="B659" s="13" t="str" cm="1">
        <f t="array" ref="B659">_xlfn.IFS(credit[[#This Row],[Age]]&lt;=25,"18-25",credit[[#This Row],[Age]]&lt;=35,"26-35",credit[[#This Row],[Age]]&lt;=45,"36-45",credit[[#This Row],[Age]]&lt;=60,"46-60",TRUE,"60+")</f>
        <v>36-45</v>
      </c>
      <c r="C659" t="s">
        <v>9</v>
      </c>
      <c r="D659">
        <v>2</v>
      </c>
      <c r="E659" t="s">
        <v>10</v>
      </c>
      <c r="F659" t="s">
        <v>11</v>
      </c>
      <c r="G659" t="s">
        <v>11</v>
      </c>
      <c r="H659">
        <v>10222</v>
      </c>
      <c r="I659">
        <v>48</v>
      </c>
      <c r="J659" t="s">
        <v>13</v>
      </c>
      <c r="K659" t="str">
        <f>IF(AND(credit[[#This Row],[Credit amount]]&gt;9000,credit[[#This Row],[Saving accounts]]="little"),"High","Low")</f>
        <v>Low</v>
      </c>
    </row>
    <row r="660" spans="1:11" x14ac:dyDescent="0.25">
      <c r="A660">
        <v>28</v>
      </c>
      <c r="B660" s="13" t="str" cm="1">
        <f t="array" ref="B660">_xlfn.IFS(credit[[#This Row],[Age]]&lt;=25,"18-25",credit[[#This Row],[Age]]&lt;=35,"26-35",credit[[#This Row],[Age]]&lt;=45,"36-45",credit[[#This Row],[Age]]&lt;=60,"46-60",TRUE,"60+")</f>
        <v>26-35</v>
      </c>
      <c r="C660" t="s">
        <v>14</v>
      </c>
      <c r="D660">
        <v>2</v>
      </c>
      <c r="E660" t="s">
        <v>10</v>
      </c>
      <c r="F660" t="s">
        <v>12</v>
      </c>
      <c r="G660" t="s">
        <v>15</v>
      </c>
      <c r="H660">
        <v>4221</v>
      </c>
      <c r="I660">
        <v>30</v>
      </c>
      <c r="J660" t="s">
        <v>23</v>
      </c>
      <c r="K660" t="str">
        <f>IF(AND(credit[[#This Row],[Credit amount]]&gt;9000,credit[[#This Row],[Saving accounts]]="little"),"High","Low")</f>
        <v>Low</v>
      </c>
    </row>
    <row r="661" spans="1:11" x14ac:dyDescent="0.25">
      <c r="A661">
        <v>41</v>
      </c>
      <c r="B661" s="13" t="str" cm="1">
        <f t="array" ref="B661">_xlfn.IFS(credit[[#This Row],[Age]]&lt;=25,"18-25",credit[[#This Row],[Age]]&lt;=35,"26-35",credit[[#This Row],[Age]]&lt;=45,"36-45",credit[[#This Row],[Age]]&lt;=60,"46-60",TRUE,"60+")</f>
        <v>36-45</v>
      </c>
      <c r="C661" t="s">
        <v>9</v>
      </c>
      <c r="D661">
        <v>2</v>
      </c>
      <c r="E661" t="s">
        <v>10</v>
      </c>
      <c r="F661" t="s">
        <v>12</v>
      </c>
      <c r="G661" t="s">
        <v>15</v>
      </c>
      <c r="H661">
        <v>6361</v>
      </c>
      <c r="I661">
        <v>18</v>
      </c>
      <c r="J661" t="s">
        <v>18</v>
      </c>
      <c r="K661" t="str">
        <f>IF(AND(credit[[#This Row],[Credit amount]]&gt;9000,credit[[#This Row],[Saving accounts]]="little"),"High","Low")</f>
        <v>Low</v>
      </c>
    </row>
    <row r="662" spans="1:11" x14ac:dyDescent="0.25">
      <c r="A662">
        <v>23</v>
      </c>
      <c r="B662" s="13" t="str" cm="1">
        <f t="array" ref="B662">_xlfn.IFS(credit[[#This Row],[Age]]&lt;=25,"18-25",credit[[#This Row],[Age]]&lt;=35,"26-35",credit[[#This Row],[Age]]&lt;=45,"36-45",credit[[#This Row],[Age]]&lt;=60,"46-60",TRUE,"60+")</f>
        <v>18-25</v>
      </c>
      <c r="C662" t="s">
        <v>9</v>
      </c>
      <c r="D662">
        <v>2</v>
      </c>
      <c r="E662" t="s">
        <v>21</v>
      </c>
      <c r="F662" t="s">
        <v>12</v>
      </c>
      <c r="G662" t="s">
        <v>22</v>
      </c>
      <c r="H662">
        <v>1297</v>
      </c>
      <c r="I662">
        <v>12</v>
      </c>
      <c r="J662" t="s">
        <v>13</v>
      </c>
      <c r="K662" t="str">
        <f>IF(AND(credit[[#This Row],[Credit amount]]&gt;9000,credit[[#This Row],[Saving accounts]]="little"),"High","Low")</f>
        <v>Low</v>
      </c>
    </row>
    <row r="663" spans="1:11" x14ac:dyDescent="0.25">
      <c r="A663">
        <v>23</v>
      </c>
      <c r="B663" s="13" t="str" cm="1">
        <f t="array" ref="B663">_xlfn.IFS(credit[[#This Row],[Age]]&lt;=25,"18-25",credit[[#This Row],[Age]]&lt;=35,"26-35",credit[[#This Row],[Age]]&lt;=45,"36-45",credit[[#This Row],[Age]]&lt;=60,"46-60",TRUE,"60+")</f>
        <v>18-25</v>
      </c>
      <c r="C663" t="s">
        <v>9</v>
      </c>
      <c r="D663">
        <v>2</v>
      </c>
      <c r="E663" t="s">
        <v>10</v>
      </c>
      <c r="F663" t="s">
        <v>11</v>
      </c>
      <c r="G663" t="s">
        <v>12</v>
      </c>
      <c r="H663">
        <v>900</v>
      </c>
      <c r="I663">
        <v>12</v>
      </c>
      <c r="J663" t="s">
        <v>19</v>
      </c>
      <c r="K663" t="str">
        <f>IF(AND(credit[[#This Row],[Credit amount]]&gt;9000,credit[[#This Row],[Saving accounts]]="little"),"High","Low")</f>
        <v>Low</v>
      </c>
    </row>
    <row r="664" spans="1:11" x14ac:dyDescent="0.25">
      <c r="A664">
        <v>50</v>
      </c>
      <c r="B664" s="13" t="str" cm="1">
        <f t="array" ref="B664">_xlfn.IFS(credit[[#This Row],[Age]]&lt;=25,"18-25",credit[[#This Row],[Age]]&lt;=35,"26-35",credit[[#This Row],[Age]]&lt;=45,"36-45",credit[[#This Row],[Age]]&lt;=60,"46-60",TRUE,"60+")</f>
        <v>46-60</v>
      </c>
      <c r="C664" t="s">
        <v>9</v>
      </c>
      <c r="D664">
        <v>2</v>
      </c>
      <c r="E664" t="s">
        <v>10</v>
      </c>
      <c r="F664" t="s">
        <v>12</v>
      </c>
      <c r="G664" t="s">
        <v>11</v>
      </c>
      <c r="H664">
        <v>2241</v>
      </c>
      <c r="I664">
        <v>21</v>
      </c>
      <c r="J664" t="s">
        <v>18</v>
      </c>
      <c r="K664" t="str">
        <f>IF(AND(credit[[#This Row],[Credit amount]]&gt;9000,credit[[#This Row],[Saving accounts]]="little"),"High","Low")</f>
        <v>Low</v>
      </c>
    </row>
    <row r="665" spans="1:11" x14ac:dyDescent="0.25">
      <c r="A665">
        <v>35</v>
      </c>
      <c r="B665" s="13" t="str" cm="1">
        <f t="array" ref="B665">_xlfn.IFS(credit[[#This Row],[Age]]&lt;=25,"18-25",credit[[#This Row],[Age]]&lt;=35,"26-35",credit[[#This Row],[Age]]&lt;=45,"36-45",credit[[#This Row],[Age]]&lt;=60,"46-60",TRUE,"60+")</f>
        <v>26-35</v>
      </c>
      <c r="C665" t="s">
        <v>9</v>
      </c>
      <c r="D665">
        <v>3</v>
      </c>
      <c r="E665" t="s">
        <v>10</v>
      </c>
      <c r="F665" t="s">
        <v>12</v>
      </c>
      <c r="G665" t="s">
        <v>15</v>
      </c>
      <c r="H665">
        <v>1050</v>
      </c>
      <c r="I665">
        <v>6</v>
      </c>
      <c r="J665" t="s">
        <v>18</v>
      </c>
      <c r="K665" t="str">
        <f>IF(AND(credit[[#This Row],[Credit amount]]&gt;9000,credit[[#This Row],[Saving accounts]]="little"),"High","Low")</f>
        <v>Low</v>
      </c>
    </row>
    <row r="666" spans="1:11" x14ac:dyDescent="0.25">
      <c r="A666">
        <v>50</v>
      </c>
      <c r="B666" s="13" t="str" cm="1">
        <f t="array" ref="B666">_xlfn.IFS(credit[[#This Row],[Age]]&lt;=25,"18-25",credit[[#This Row],[Age]]&lt;=35,"26-35",credit[[#This Row],[Age]]&lt;=45,"36-45",credit[[#This Row],[Age]]&lt;=60,"46-60",TRUE,"60+")</f>
        <v>46-60</v>
      </c>
      <c r="C666" t="s">
        <v>14</v>
      </c>
      <c r="D666">
        <v>1</v>
      </c>
      <c r="E666" t="s">
        <v>10</v>
      </c>
      <c r="F666" t="s">
        <v>12</v>
      </c>
      <c r="G666" t="s">
        <v>22</v>
      </c>
      <c r="H666">
        <v>1047</v>
      </c>
      <c r="I666">
        <v>6</v>
      </c>
      <c r="J666" t="s">
        <v>16</v>
      </c>
      <c r="K666" t="str">
        <f>IF(AND(credit[[#This Row],[Credit amount]]&gt;9000,credit[[#This Row],[Saving accounts]]="little"),"High","Low")</f>
        <v>Low</v>
      </c>
    </row>
    <row r="667" spans="1:11" x14ac:dyDescent="0.25">
      <c r="A667">
        <v>27</v>
      </c>
      <c r="B667" s="13" t="str" cm="1">
        <f t="array" ref="B667">_xlfn.IFS(credit[[#This Row],[Age]]&lt;=25,"18-25",credit[[#This Row],[Age]]&lt;=35,"26-35",credit[[#This Row],[Age]]&lt;=45,"36-45",credit[[#This Row],[Age]]&lt;=60,"46-60",TRUE,"60+")</f>
        <v>26-35</v>
      </c>
      <c r="C667" t="s">
        <v>9</v>
      </c>
      <c r="D667">
        <v>3</v>
      </c>
      <c r="E667" t="s">
        <v>10</v>
      </c>
      <c r="F667" t="s">
        <v>12</v>
      </c>
      <c r="G667" t="s">
        <v>11</v>
      </c>
      <c r="H667">
        <v>6314</v>
      </c>
      <c r="I667">
        <v>24</v>
      </c>
      <c r="J667" t="s">
        <v>26</v>
      </c>
      <c r="K667" t="str">
        <f>IF(AND(credit[[#This Row],[Credit amount]]&gt;9000,credit[[#This Row],[Saving accounts]]="little"),"High","Low")</f>
        <v>Low</v>
      </c>
    </row>
    <row r="668" spans="1:11" x14ac:dyDescent="0.25">
      <c r="A668">
        <v>34</v>
      </c>
      <c r="B668" s="13" t="str" cm="1">
        <f t="array" ref="B668">_xlfn.IFS(credit[[#This Row],[Age]]&lt;=25,"18-25",credit[[#This Row],[Age]]&lt;=35,"26-35",credit[[#This Row],[Age]]&lt;=45,"36-45",credit[[#This Row],[Age]]&lt;=60,"46-60",TRUE,"60+")</f>
        <v>26-35</v>
      </c>
      <c r="C668" t="s">
        <v>9</v>
      </c>
      <c r="D668">
        <v>2</v>
      </c>
      <c r="E668" t="s">
        <v>10</v>
      </c>
      <c r="F668" t="s">
        <v>22</v>
      </c>
      <c r="G668" t="s">
        <v>15</v>
      </c>
      <c r="H668">
        <v>3496</v>
      </c>
      <c r="I668">
        <v>30</v>
      </c>
      <c r="J668" t="s">
        <v>18</v>
      </c>
      <c r="K668" t="str">
        <f>IF(AND(credit[[#This Row],[Credit amount]]&gt;9000,credit[[#This Row],[Saving accounts]]="little"),"High","Low")</f>
        <v>Low</v>
      </c>
    </row>
    <row r="669" spans="1:11" x14ac:dyDescent="0.25">
      <c r="A669">
        <v>27</v>
      </c>
      <c r="B669" s="13" t="str" cm="1">
        <f t="array" ref="B669">_xlfn.IFS(credit[[#This Row],[Age]]&lt;=25,"18-25",credit[[#This Row],[Age]]&lt;=35,"26-35",credit[[#This Row],[Age]]&lt;=45,"36-45",credit[[#This Row],[Age]]&lt;=60,"46-60",TRUE,"60+")</f>
        <v>26-35</v>
      </c>
      <c r="C669" t="s">
        <v>14</v>
      </c>
      <c r="D669">
        <v>2</v>
      </c>
      <c r="E669" t="s">
        <v>10</v>
      </c>
      <c r="F669" t="s">
        <v>12</v>
      </c>
      <c r="G669" t="s">
        <v>11</v>
      </c>
      <c r="H669">
        <v>3609</v>
      </c>
      <c r="I669">
        <v>48</v>
      </c>
      <c r="J669" t="s">
        <v>23</v>
      </c>
      <c r="K669" t="str">
        <f>IF(AND(credit[[#This Row],[Credit amount]]&gt;9000,credit[[#This Row],[Saving accounts]]="little"),"High","Low")</f>
        <v>Low</v>
      </c>
    </row>
    <row r="670" spans="1:11" x14ac:dyDescent="0.25">
      <c r="A670">
        <v>43</v>
      </c>
      <c r="B670" s="13" t="str" cm="1">
        <f t="array" ref="B670">_xlfn.IFS(credit[[#This Row],[Age]]&lt;=25,"18-25",credit[[#This Row],[Age]]&lt;=35,"26-35",credit[[#This Row],[Age]]&lt;=45,"36-45",credit[[#This Row],[Age]]&lt;=60,"46-60",TRUE,"60+")</f>
        <v>36-45</v>
      </c>
      <c r="C670" t="s">
        <v>9</v>
      </c>
      <c r="D670">
        <v>2</v>
      </c>
      <c r="E670" t="s">
        <v>21</v>
      </c>
      <c r="F670" t="s">
        <v>12</v>
      </c>
      <c r="G670" t="s">
        <v>12</v>
      </c>
      <c r="H670">
        <v>4843</v>
      </c>
      <c r="I670">
        <v>12</v>
      </c>
      <c r="J670" t="s">
        <v>19</v>
      </c>
      <c r="K670" t="str">
        <f>IF(AND(credit[[#This Row],[Credit amount]]&gt;9000,credit[[#This Row],[Saving accounts]]="little"),"High","Low")</f>
        <v>Low</v>
      </c>
    </row>
    <row r="671" spans="1:11" x14ac:dyDescent="0.25">
      <c r="A671">
        <v>47</v>
      </c>
      <c r="B671" s="13" t="str" cm="1">
        <f t="array" ref="B671">_xlfn.IFS(credit[[#This Row],[Age]]&lt;=25,"18-25",credit[[#This Row],[Age]]&lt;=35,"26-35",credit[[#This Row],[Age]]&lt;=45,"36-45",credit[[#This Row],[Age]]&lt;=60,"46-60",TRUE,"60+")</f>
        <v>46-60</v>
      </c>
      <c r="C671" t="s">
        <v>9</v>
      </c>
      <c r="D671">
        <v>2</v>
      </c>
      <c r="E671" t="s">
        <v>10</v>
      </c>
      <c r="F671" t="s">
        <v>12</v>
      </c>
      <c r="G671" t="s">
        <v>22</v>
      </c>
      <c r="H671">
        <v>3017</v>
      </c>
      <c r="I671">
        <v>30</v>
      </c>
      <c r="J671" t="s">
        <v>13</v>
      </c>
      <c r="K671" t="str">
        <f>IF(AND(credit[[#This Row],[Credit amount]]&gt;9000,credit[[#This Row],[Saving accounts]]="little"),"High","Low")</f>
        <v>Low</v>
      </c>
    </row>
    <row r="672" spans="1:11" x14ac:dyDescent="0.25">
      <c r="A672">
        <v>27</v>
      </c>
      <c r="B672" s="13" t="str" cm="1">
        <f t="array" ref="B672">_xlfn.IFS(credit[[#This Row],[Age]]&lt;=25,"18-25",credit[[#This Row],[Age]]&lt;=35,"26-35",credit[[#This Row],[Age]]&lt;=45,"36-45",credit[[#This Row],[Age]]&lt;=60,"46-60",TRUE,"60+")</f>
        <v>26-35</v>
      </c>
      <c r="C672" t="s">
        <v>9</v>
      </c>
      <c r="D672">
        <v>1</v>
      </c>
      <c r="E672" t="s">
        <v>10</v>
      </c>
      <c r="F672" t="s">
        <v>15</v>
      </c>
      <c r="G672" t="s">
        <v>11</v>
      </c>
      <c r="H672">
        <v>4139</v>
      </c>
      <c r="I672">
        <v>24</v>
      </c>
      <c r="J672" t="s">
        <v>23</v>
      </c>
      <c r="K672" t="str">
        <f>IF(AND(credit[[#This Row],[Credit amount]]&gt;9000,credit[[#This Row],[Saving accounts]]="little"),"High","Low")</f>
        <v>Low</v>
      </c>
    </row>
    <row r="673" spans="1:11" x14ac:dyDescent="0.25">
      <c r="A673">
        <v>31</v>
      </c>
      <c r="B673" s="13" t="str" cm="1">
        <f t="array" ref="B673">_xlfn.IFS(credit[[#This Row],[Age]]&lt;=25,"18-25",credit[[#This Row],[Age]]&lt;=35,"26-35",credit[[#This Row],[Age]]&lt;=45,"36-45",credit[[#This Row],[Age]]&lt;=60,"46-60",TRUE,"60+")</f>
        <v>26-35</v>
      </c>
      <c r="C673" t="s">
        <v>9</v>
      </c>
      <c r="D673">
        <v>2</v>
      </c>
      <c r="E673" t="s">
        <v>10</v>
      </c>
      <c r="F673" t="s">
        <v>15</v>
      </c>
      <c r="G673" t="s">
        <v>11</v>
      </c>
      <c r="H673">
        <v>5742</v>
      </c>
      <c r="I673">
        <v>36</v>
      </c>
      <c r="J673" t="s">
        <v>23</v>
      </c>
      <c r="K673" t="str">
        <f>IF(AND(credit[[#This Row],[Credit amount]]&gt;9000,credit[[#This Row],[Saving accounts]]="little"),"High","Low")</f>
        <v>Low</v>
      </c>
    </row>
    <row r="674" spans="1:11" x14ac:dyDescent="0.25">
      <c r="A674">
        <v>42</v>
      </c>
      <c r="B674" s="13" t="str" cm="1">
        <f t="array" ref="B674">_xlfn.IFS(credit[[#This Row],[Age]]&lt;=25,"18-25",credit[[#This Row],[Age]]&lt;=35,"26-35",credit[[#This Row],[Age]]&lt;=45,"36-45",credit[[#This Row],[Age]]&lt;=60,"46-60",TRUE,"60+")</f>
        <v>36-45</v>
      </c>
      <c r="C674" t="s">
        <v>9</v>
      </c>
      <c r="D674">
        <v>3</v>
      </c>
      <c r="E674" t="s">
        <v>10</v>
      </c>
      <c r="F674" t="s">
        <v>12</v>
      </c>
      <c r="G674" t="s">
        <v>11</v>
      </c>
      <c r="H674">
        <v>10366</v>
      </c>
      <c r="I674">
        <v>60</v>
      </c>
      <c r="J674" t="s">
        <v>19</v>
      </c>
      <c r="K674" t="str">
        <f>IF(AND(credit[[#This Row],[Credit amount]]&gt;9000,credit[[#This Row],[Saving accounts]]="little"),"High","Low")</f>
        <v>High</v>
      </c>
    </row>
    <row r="675" spans="1:11" x14ac:dyDescent="0.25">
      <c r="A675">
        <v>24</v>
      </c>
      <c r="B675" s="13" t="str" cm="1">
        <f t="array" ref="B675">_xlfn.IFS(credit[[#This Row],[Age]]&lt;=25,"18-25",credit[[#This Row],[Age]]&lt;=35,"26-35",credit[[#This Row],[Age]]&lt;=45,"36-45",credit[[#This Row],[Age]]&lt;=60,"46-60",TRUE,"60+")</f>
        <v>18-25</v>
      </c>
      <c r="C675" t="s">
        <v>9</v>
      </c>
      <c r="D675">
        <v>2</v>
      </c>
      <c r="E675" t="s">
        <v>10</v>
      </c>
      <c r="F675" t="s">
        <v>20</v>
      </c>
      <c r="G675" t="s">
        <v>11</v>
      </c>
      <c r="H675">
        <v>2080</v>
      </c>
      <c r="I675">
        <v>6</v>
      </c>
      <c r="J675" t="s">
        <v>19</v>
      </c>
      <c r="K675" t="str">
        <f>IF(AND(credit[[#This Row],[Credit amount]]&gt;9000,credit[[#This Row],[Saving accounts]]="little"),"High","Low")</f>
        <v>Low</v>
      </c>
    </row>
    <row r="676" spans="1:11" x14ac:dyDescent="0.25">
      <c r="A676">
        <v>41</v>
      </c>
      <c r="B676" s="13" t="str" cm="1">
        <f t="array" ref="B676">_xlfn.IFS(credit[[#This Row],[Age]]&lt;=25,"18-25",credit[[#This Row],[Age]]&lt;=35,"26-35",credit[[#This Row],[Age]]&lt;=45,"36-45",credit[[#This Row],[Age]]&lt;=60,"46-60",TRUE,"60+")</f>
        <v>36-45</v>
      </c>
      <c r="C676" t="s">
        <v>9</v>
      </c>
      <c r="D676">
        <v>1</v>
      </c>
      <c r="E676" t="s">
        <v>10</v>
      </c>
      <c r="F676" t="s">
        <v>20</v>
      </c>
      <c r="G676" t="s">
        <v>11</v>
      </c>
      <c r="H676">
        <v>2580</v>
      </c>
      <c r="I676">
        <v>21</v>
      </c>
      <c r="J676" t="s">
        <v>23</v>
      </c>
      <c r="K676" t="str">
        <f>IF(AND(credit[[#This Row],[Credit amount]]&gt;9000,credit[[#This Row],[Saving accounts]]="little"),"High","Low")</f>
        <v>Low</v>
      </c>
    </row>
    <row r="677" spans="1:11" x14ac:dyDescent="0.25">
      <c r="A677">
        <v>26</v>
      </c>
      <c r="B677" s="13" t="str" cm="1">
        <f t="array" ref="B677">_xlfn.IFS(credit[[#This Row],[Age]]&lt;=25,"18-25",credit[[#This Row],[Age]]&lt;=35,"26-35",credit[[#This Row],[Age]]&lt;=45,"36-45",credit[[#This Row],[Age]]&lt;=60,"46-60",TRUE,"60+")</f>
        <v>26-35</v>
      </c>
      <c r="C677" t="s">
        <v>14</v>
      </c>
      <c r="D677">
        <v>3</v>
      </c>
      <c r="E677" t="s">
        <v>21</v>
      </c>
      <c r="F677" t="s">
        <v>12</v>
      </c>
      <c r="G677" t="s">
        <v>11</v>
      </c>
      <c r="H677">
        <v>4530</v>
      </c>
      <c r="I677">
        <v>30</v>
      </c>
      <c r="J677" t="s">
        <v>13</v>
      </c>
      <c r="K677" t="str">
        <f>IF(AND(credit[[#This Row],[Credit amount]]&gt;9000,credit[[#This Row],[Saving accounts]]="little"),"High","Low")</f>
        <v>Low</v>
      </c>
    </row>
    <row r="678" spans="1:11" x14ac:dyDescent="0.25">
      <c r="A678">
        <v>33</v>
      </c>
      <c r="B678" s="13" t="str" cm="1">
        <f t="array" ref="B678">_xlfn.IFS(credit[[#This Row],[Age]]&lt;=25,"18-25",credit[[#This Row],[Age]]&lt;=35,"26-35",credit[[#This Row],[Age]]&lt;=45,"36-45",credit[[#This Row],[Age]]&lt;=60,"46-60",TRUE,"60+")</f>
        <v>26-35</v>
      </c>
      <c r="C678" t="s">
        <v>9</v>
      </c>
      <c r="D678">
        <v>2</v>
      </c>
      <c r="E678" t="s">
        <v>10</v>
      </c>
      <c r="F678" t="s">
        <v>12</v>
      </c>
      <c r="G678" t="s">
        <v>11</v>
      </c>
      <c r="H678">
        <v>5150</v>
      </c>
      <c r="I678">
        <v>24</v>
      </c>
      <c r="J678" t="s">
        <v>18</v>
      </c>
      <c r="K678" t="str">
        <f>IF(AND(credit[[#This Row],[Credit amount]]&gt;9000,credit[[#This Row],[Saving accounts]]="little"),"High","Low")</f>
        <v>Low</v>
      </c>
    </row>
    <row r="679" spans="1:11" x14ac:dyDescent="0.25">
      <c r="A679">
        <v>24</v>
      </c>
      <c r="B679" s="13" t="str" cm="1">
        <f t="array" ref="B679">_xlfn.IFS(credit[[#This Row],[Age]]&lt;=25,"18-25",credit[[#This Row],[Age]]&lt;=35,"26-35",credit[[#This Row],[Age]]&lt;=45,"36-45",credit[[#This Row],[Age]]&lt;=60,"46-60",TRUE,"60+")</f>
        <v>18-25</v>
      </c>
      <c r="C679" t="s">
        <v>9</v>
      </c>
      <c r="D679">
        <v>2</v>
      </c>
      <c r="E679" t="s">
        <v>10</v>
      </c>
      <c r="F679" t="s">
        <v>15</v>
      </c>
      <c r="G679" t="s">
        <v>15</v>
      </c>
      <c r="H679">
        <v>5595</v>
      </c>
      <c r="I679">
        <v>72</v>
      </c>
      <c r="J679" t="s">
        <v>13</v>
      </c>
      <c r="K679" t="str">
        <f>IF(AND(credit[[#This Row],[Credit amount]]&gt;9000,credit[[#This Row],[Saving accounts]]="little"),"High","Low")</f>
        <v>Low</v>
      </c>
    </row>
    <row r="680" spans="1:11" x14ac:dyDescent="0.25">
      <c r="A680">
        <v>64</v>
      </c>
      <c r="B680" s="13" t="str" cm="1">
        <f t="array" ref="B680">_xlfn.IFS(credit[[#This Row],[Age]]&lt;=25,"18-25",credit[[#This Row],[Age]]&lt;=35,"26-35",credit[[#This Row],[Age]]&lt;=45,"36-45",credit[[#This Row],[Age]]&lt;=60,"46-60",TRUE,"60+")</f>
        <v>60+</v>
      </c>
      <c r="C680" t="s">
        <v>9</v>
      </c>
      <c r="D680">
        <v>1</v>
      </c>
      <c r="E680" t="s">
        <v>21</v>
      </c>
      <c r="F680" t="s">
        <v>12</v>
      </c>
      <c r="G680" t="s">
        <v>12</v>
      </c>
      <c r="H680">
        <v>2384</v>
      </c>
      <c r="I680">
        <v>24</v>
      </c>
      <c r="J680" t="s">
        <v>13</v>
      </c>
      <c r="K680" t="str">
        <f>IF(AND(credit[[#This Row],[Credit amount]]&gt;9000,credit[[#This Row],[Saving accounts]]="little"),"High","Low")</f>
        <v>Low</v>
      </c>
    </row>
    <row r="681" spans="1:11" x14ac:dyDescent="0.25">
      <c r="A681">
        <v>26</v>
      </c>
      <c r="B681" s="13" t="str" cm="1">
        <f t="array" ref="B681">_xlfn.IFS(credit[[#This Row],[Age]]&lt;=25,"18-25",credit[[#This Row],[Age]]&lt;=35,"26-35",credit[[#This Row],[Age]]&lt;=45,"36-45",credit[[#This Row],[Age]]&lt;=60,"46-60",TRUE,"60+")</f>
        <v>26-35</v>
      </c>
      <c r="C681" t="s">
        <v>14</v>
      </c>
      <c r="D681">
        <v>2</v>
      </c>
      <c r="E681" t="s">
        <v>10</v>
      </c>
      <c r="F681" t="s">
        <v>12</v>
      </c>
      <c r="G681" t="s">
        <v>11</v>
      </c>
      <c r="H681">
        <v>1453</v>
      </c>
      <c r="I681">
        <v>18</v>
      </c>
      <c r="J681" t="s">
        <v>13</v>
      </c>
      <c r="K681" t="str">
        <f>IF(AND(credit[[#This Row],[Credit amount]]&gt;9000,credit[[#This Row],[Saving accounts]]="little"),"High","Low")</f>
        <v>Low</v>
      </c>
    </row>
    <row r="682" spans="1:11" x14ac:dyDescent="0.25">
      <c r="A682">
        <v>56</v>
      </c>
      <c r="B682" s="13" t="str" cm="1">
        <f t="array" ref="B682">_xlfn.IFS(credit[[#This Row],[Age]]&lt;=25,"18-25",credit[[#This Row],[Age]]&lt;=35,"26-35",credit[[#This Row],[Age]]&lt;=45,"36-45",credit[[#This Row],[Age]]&lt;=60,"46-60",TRUE,"60+")</f>
        <v>46-60</v>
      </c>
      <c r="C682" t="s">
        <v>14</v>
      </c>
      <c r="D682">
        <v>2</v>
      </c>
      <c r="E682" t="s">
        <v>10</v>
      </c>
      <c r="F682" t="s">
        <v>12</v>
      </c>
      <c r="G682" t="s">
        <v>11</v>
      </c>
      <c r="H682">
        <v>1538</v>
      </c>
      <c r="I682">
        <v>6</v>
      </c>
      <c r="J682" t="s">
        <v>16</v>
      </c>
      <c r="K682" t="str">
        <f>IF(AND(credit[[#This Row],[Credit amount]]&gt;9000,credit[[#This Row],[Saving accounts]]="little"),"High","Low")</f>
        <v>Low</v>
      </c>
    </row>
    <row r="683" spans="1:11" x14ac:dyDescent="0.25">
      <c r="A683">
        <v>37</v>
      </c>
      <c r="B683" s="13" t="str" cm="1">
        <f t="array" ref="B683">_xlfn.IFS(credit[[#This Row],[Age]]&lt;=25,"18-25",credit[[#This Row],[Age]]&lt;=35,"26-35",credit[[#This Row],[Age]]&lt;=45,"36-45",credit[[#This Row],[Age]]&lt;=60,"46-60",TRUE,"60+")</f>
        <v>36-45</v>
      </c>
      <c r="C683" t="s">
        <v>9</v>
      </c>
      <c r="D683">
        <v>2</v>
      </c>
      <c r="E683" t="s">
        <v>17</v>
      </c>
      <c r="F683" t="s">
        <v>11</v>
      </c>
      <c r="G683" t="s">
        <v>11</v>
      </c>
      <c r="H683">
        <v>2279</v>
      </c>
      <c r="I683">
        <v>12</v>
      </c>
      <c r="J683" t="s">
        <v>13</v>
      </c>
      <c r="K683" t="str">
        <f>IF(AND(credit[[#This Row],[Credit amount]]&gt;9000,credit[[#This Row],[Saving accounts]]="little"),"High","Low")</f>
        <v>Low</v>
      </c>
    </row>
    <row r="684" spans="1:11" x14ac:dyDescent="0.25">
      <c r="A684">
        <v>33</v>
      </c>
      <c r="B684" s="13" t="str" cm="1">
        <f t="array" ref="B684">_xlfn.IFS(credit[[#This Row],[Age]]&lt;=25,"18-25",credit[[#This Row],[Age]]&lt;=35,"26-35",credit[[#This Row],[Age]]&lt;=45,"36-45",credit[[#This Row],[Age]]&lt;=60,"46-60",TRUE,"60+")</f>
        <v>26-35</v>
      </c>
      <c r="C684" t="s">
        <v>9</v>
      </c>
      <c r="D684">
        <v>2</v>
      </c>
      <c r="E684" t="s">
        <v>10</v>
      </c>
      <c r="F684" t="s">
        <v>12</v>
      </c>
      <c r="G684" t="s">
        <v>11</v>
      </c>
      <c r="H684">
        <v>1478</v>
      </c>
      <c r="I684">
        <v>15</v>
      </c>
      <c r="J684" t="s">
        <v>13</v>
      </c>
      <c r="K684" t="str">
        <f>IF(AND(credit[[#This Row],[Credit amount]]&gt;9000,credit[[#This Row],[Saving accounts]]="little"),"High","Low")</f>
        <v>Low</v>
      </c>
    </row>
    <row r="685" spans="1:11" x14ac:dyDescent="0.25">
      <c r="A685">
        <v>47</v>
      </c>
      <c r="B685" s="13" t="str" cm="1">
        <f t="array" ref="B685">_xlfn.IFS(credit[[#This Row],[Age]]&lt;=25,"18-25",credit[[#This Row],[Age]]&lt;=35,"26-35",credit[[#This Row],[Age]]&lt;=45,"36-45",credit[[#This Row],[Age]]&lt;=60,"46-60",TRUE,"60+")</f>
        <v>46-60</v>
      </c>
      <c r="C685" t="s">
        <v>9</v>
      </c>
      <c r="D685">
        <v>2</v>
      </c>
      <c r="E685" t="s">
        <v>17</v>
      </c>
      <c r="F685" t="s">
        <v>12</v>
      </c>
      <c r="G685" t="s">
        <v>11</v>
      </c>
      <c r="H685">
        <v>5103</v>
      </c>
      <c r="I685">
        <v>24</v>
      </c>
      <c r="J685" t="s">
        <v>13</v>
      </c>
      <c r="K685" t="str">
        <f>IF(AND(credit[[#This Row],[Credit amount]]&gt;9000,credit[[#This Row],[Saving accounts]]="little"),"High","Low")</f>
        <v>Low</v>
      </c>
    </row>
    <row r="686" spans="1:11" x14ac:dyDescent="0.25">
      <c r="A686">
        <v>31</v>
      </c>
      <c r="B686" s="13" t="str" cm="1">
        <f t="array" ref="B686">_xlfn.IFS(credit[[#This Row],[Age]]&lt;=25,"18-25",credit[[#This Row],[Age]]&lt;=35,"26-35",credit[[#This Row],[Age]]&lt;=45,"36-45",credit[[#This Row],[Age]]&lt;=60,"46-60",TRUE,"60+")</f>
        <v>26-35</v>
      </c>
      <c r="C686" t="s">
        <v>9</v>
      </c>
      <c r="D686">
        <v>1</v>
      </c>
      <c r="E686" t="s">
        <v>10</v>
      </c>
      <c r="F686" t="s">
        <v>15</v>
      </c>
      <c r="G686" t="s">
        <v>15</v>
      </c>
      <c r="H686">
        <v>9857</v>
      </c>
      <c r="I686">
        <v>36</v>
      </c>
      <c r="J686" t="s">
        <v>23</v>
      </c>
      <c r="K686" t="str">
        <f>IF(AND(credit[[#This Row],[Credit amount]]&gt;9000,credit[[#This Row],[Saving accounts]]="little"),"High","Low")</f>
        <v>Low</v>
      </c>
    </row>
    <row r="687" spans="1:11" x14ac:dyDescent="0.25">
      <c r="A687">
        <v>34</v>
      </c>
      <c r="B687" s="13" t="str" cm="1">
        <f t="array" ref="B687">_xlfn.IFS(credit[[#This Row],[Age]]&lt;=25,"18-25",credit[[#This Row],[Age]]&lt;=35,"26-35",credit[[#This Row],[Age]]&lt;=45,"36-45",credit[[#This Row],[Age]]&lt;=60,"46-60",TRUE,"60+")</f>
        <v>26-35</v>
      </c>
      <c r="C687" t="s">
        <v>9</v>
      </c>
      <c r="D687">
        <v>2</v>
      </c>
      <c r="E687" t="s">
        <v>17</v>
      </c>
      <c r="F687" t="s">
        <v>11</v>
      </c>
      <c r="G687" t="s">
        <v>11</v>
      </c>
      <c r="H687">
        <v>6527</v>
      </c>
      <c r="I687">
        <v>60</v>
      </c>
      <c r="J687" t="s">
        <v>19</v>
      </c>
      <c r="K687" t="str">
        <f>IF(AND(credit[[#This Row],[Credit amount]]&gt;9000,credit[[#This Row],[Saving accounts]]="little"),"High","Low")</f>
        <v>Low</v>
      </c>
    </row>
    <row r="688" spans="1:11" x14ac:dyDescent="0.25">
      <c r="A688">
        <v>27</v>
      </c>
      <c r="B688" s="13" t="str" cm="1">
        <f t="array" ref="B688">_xlfn.IFS(credit[[#This Row],[Age]]&lt;=25,"18-25",credit[[#This Row],[Age]]&lt;=35,"26-35",credit[[#This Row],[Age]]&lt;=45,"36-45",credit[[#This Row],[Age]]&lt;=60,"46-60",TRUE,"60+")</f>
        <v>26-35</v>
      </c>
      <c r="C688" t="s">
        <v>9</v>
      </c>
      <c r="D688">
        <v>2</v>
      </c>
      <c r="E688" t="s">
        <v>10</v>
      </c>
      <c r="F688" t="s">
        <v>11</v>
      </c>
      <c r="G688" t="s">
        <v>22</v>
      </c>
      <c r="H688">
        <v>1347</v>
      </c>
      <c r="I688">
        <v>10</v>
      </c>
      <c r="J688" t="s">
        <v>13</v>
      </c>
      <c r="K688" t="str">
        <f>IF(AND(credit[[#This Row],[Credit amount]]&gt;9000,credit[[#This Row],[Saving accounts]]="little"),"High","Low")</f>
        <v>Low</v>
      </c>
    </row>
    <row r="689" spans="1:11" x14ac:dyDescent="0.25">
      <c r="A689">
        <v>30</v>
      </c>
      <c r="B689" s="13" t="str" cm="1">
        <f t="array" ref="B689">_xlfn.IFS(credit[[#This Row],[Age]]&lt;=25,"18-25",credit[[#This Row],[Age]]&lt;=35,"26-35",credit[[#This Row],[Age]]&lt;=45,"36-45",credit[[#This Row],[Age]]&lt;=60,"46-60",TRUE,"60+")</f>
        <v>26-35</v>
      </c>
      <c r="C689" t="s">
        <v>9</v>
      </c>
      <c r="D689">
        <v>2</v>
      </c>
      <c r="E689" t="s">
        <v>17</v>
      </c>
      <c r="F689" t="s">
        <v>15</v>
      </c>
      <c r="G689" t="s">
        <v>15</v>
      </c>
      <c r="H689">
        <v>2862</v>
      </c>
      <c r="I689">
        <v>36</v>
      </c>
      <c r="J689" t="s">
        <v>19</v>
      </c>
      <c r="K689" t="str">
        <f>IF(AND(credit[[#This Row],[Credit amount]]&gt;9000,credit[[#This Row],[Saving accounts]]="little"),"High","Low")</f>
        <v>Low</v>
      </c>
    </row>
    <row r="690" spans="1:11" x14ac:dyDescent="0.25">
      <c r="A690">
        <v>35</v>
      </c>
      <c r="B690" s="13" t="str" cm="1">
        <f t="array" ref="B690">_xlfn.IFS(credit[[#This Row],[Age]]&lt;=25,"18-25",credit[[#This Row],[Age]]&lt;=35,"26-35",credit[[#This Row],[Age]]&lt;=45,"36-45",credit[[#This Row],[Age]]&lt;=60,"46-60",TRUE,"60+")</f>
        <v>26-35</v>
      </c>
      <c r="C690" t="s">
        <v>9</v>
      </c>
      <c r="D690">
        <v>2</v>
      </c>
      <c r="E690" t="s">
        <v>10</v>
      </c>
      <c r="F690" t="s">
        <v>15</v>
      </c>
      <c r="G690" t="s">
        <v>11</v>
      </c>
      <c r="H690">
        <v>2753</v>
      </c>
      <c r="I690">
        <v>9</v>
      </c>
      <c r="J690" t="s">
        <v>13</v>
      </c>
      <c r="K690" t="str">
        <f>IF(AND(credit[[#This Row],[Credit amount]]&gt;9000,credit[[#This Row],[Saving accounts]]="little"),"High","Low")</f>
        <v>Low</v>
      </c>
    </row>
    <row r="691" spans="1:11" x14ac:dyDescent="0.25">
      <c r="A691">
        <v>31</v>
      </c>
      <c r="B691" s="13" t="str" cm="1">
        <f t="array" ref="B691">_xlfn.IFS(credit[[#This Row],[Age]]&lt;=25,"18-25",credit[[#This Row],[Age]]&lt;=35,"26-35",credit[[#This Row],[Age]]&lt;=45,"36-45",credit[[#This Row],[Age]]&lt;=60,"46-60",TRUE,"60+")</f>
        <v>26-35</v>
      </c>
      <c r="C691" t="s">
        <v>9</v>
      </c>
      <c r="D691">
        <v>2</v>
      </c>
      <c r="E691" t="s">
        <v>10</v>
      </c>
      <c r="F691" t="s">
        <v>22</v>
      </c>
      <c r="G691" t="s">
        <v>12</v>
      </c>
      <c r="H691">
        <v>3651</v>
      </c>
      <c r="I691">
        <v>12</v>
      </c>
      <c r="J691" t="s">
        <v>19</v>
      </c>
      <c r="K691" t="str">
        <f>IF(AND(credit[[#This Row],[Credit amount]]&gt;9000,credit[[#This Row],[Saving accounts]]="little"),"High","Low")</f>
        <v>Low</v>
      </c>
    </row>
    <row r="692" spans="1:11" x14ac:dyDescent="0.25">
      <c r="A692">
        <v>25</v>
      </c>
      <c r="B692" s="13" t="str" cm="1">
        <f t="array" ref="B692">_xlfn.IFS(credit[[#This Row],[Age]]&lt;=25,"18-25",credit[[#This Row],[Age]]&lt;=35,"26-35",credit[[#This Row],[Age]]&lt;=45,"36-45",credit[[#This Row],[Age]]&lt;=60,"46-60",TRUE,"60+")</f>
        <v>18-25</v>
      </c>
      <c r="C692" t="s">
        <v>9</v>
      </c>
      <c r="D692">
        <v>2</v>
      </c>
      <c r="E692" t="s">
        <v>10</v>
      </c>
      <c r="F692" t="s">
        <v>12</v>
      </c>
      <c r="G692" t="s">
        <v>12</v>
      </c>
      <c r="H692">
        <v>975</v>
      </c>
      <c r="I692">
        <v>15</v>
      </c>
      <c r="J692" t="s">
        <v>18</v>
      </c>
      <c r="K692" t="str">
        <f>IF(AND(credit[[#This Row],[Credit amount]]&gt;9000,credit[[#This Row],[Saving accounts]]="little"),"High","Low")</f>
        <v>Low</v>
      </c>
    </row>
    <row r="693" spans="1:11" x14ac:dyDescent="0.25">
      <c r="A693">
        <v>25</v>
      </c>
      <c r="B693" s="13" t="str" cm="1">
        <f t="array" ref="B693">_xlfn.IFS(credit[[#This Row],[Age]]&lt;=25,"18-25",credit[[#This Row],[Age]]&lt;=35,"26-35",credit[[#This Row],[Age]]&lt;=45,"36-45",credit[[#This Row],[Age]]&lt;=60,"46-60",TRUE,"60+")</f>
        <v>18-25</v>
      </c>
      <c r="C693" t="s">
        <v>14</v>
      </c>
      <c r="D693">
        <v>1</v>
      </c>
      <c r="E693" t="s">
        <v>10</v>
      </c>
      <c r="F693" t="s">
        <v>15</v>
      </c>
      <c r="G693" t="s">
        <v>15</v>
      </c>
      <c r="H693">
        <v>2631</v>
      </c>
      <c r="I693">
        <v>15</v>
      </c>
      <c r="J693" t="s">
        <v>25</v>
      </c>
      <c r="K693" t="str">
        <f>IF(AND(credit[[#This Row],[Credit amount]]&gt;9000,credit[[#This Row],[Saving accounts]]="little"),"High","Low")</f>
        <v>Low</v>
      </c>
    </row>
    <row r="694" spans="1:11" x14ac:dyDescent="0.25">
      <c r="A694">
        <v>29</v>
      </c>
      <c r="B694" s="13" t="str" cm="1">
        <f t="array" ref="B694">_xlfn.IFS(credit[[#This Row],[Age]]&lt;=25,"18-25",credit[[#This Row],[Age]]&lt;=35,"26-35",credit[[#This Row],[Age]]&lt;=45,"36-45",credit[[#This Row],[Age]]&lt;=60,"46-60",TRUE,"60+")</f>
        <v>26-35</v>
      </c>
      <c r="C694" t="s">
        <v>9</v>
      </c>
      <c r="D694">
        <v>2</v>
      </c>
      <c r="E694" t="s">
        <v>10</v>
      </c>
      <c r="F694" t="s">
        <v>15</v>
      </c>
      <c r="G694" t="s">
        <v>15</v>
      </c>
      <c r="H694">
        <v>2896</v>
      </c>
      <c r="I694">
        <v>24</v>
      </c>
      <c r="J694" t="s">
        <v>13</v>
      </c>
      <c r="K694" t="str">
        <f>IF(AND(credit[[#This Row],[Credit amount]]&gt;9000,credit[[#This Row],[Saving accounts]]="little"),"High","Low")</f>
        <v>Low</v>
      </c>
    </row>
    <row r="695" spans="1:11" x14ac:dyDescent="0.25">
      <c r="A695">
        <v>44</v>
      </c>
      <c r="B695" s="13" t="str" cm="1">
        <f t="array" ref="B695">_xlfn.IFS(credit[[#This Row],[Age]]&lt;=25,"18-25",credit[[#This Row],[Age]]&lt;=35,"26-35",credit[[#This Row],[Age]]&lt;=45,"36-45",credit[[#This Row],[Age]]&lt;=60,"46-60",TRUE,"60+")</f>
        <v>36-45</v>
      </c>
      <c r="C695" t="s">
        <v>9</v>
      </c>
      <c r="D695">
        <v>1</v>
      </c>
      <c r="E695" t="s">
        <v>10</v>
      </c>
      <c r="F695" t="s">
        <v>11</v>
      </c>
      <c r="G695" t="s">
        <v>12</v>
      </c>
      <c r="H695">
        <v>4716</v>
      </c>
      <c r="I695">
        <v>6</v>
      </c>
      <c r="J695" t="s">
        <v>19</v>
      </c>
      <c r="K695" t="str">
        <f>IF(AND(credit[[#This Row],[Credit amount]]&gt;9000,credit[[#This Row],[Saving accounts]]="little"),"High","Low")</f>
        <v>Low</v>
      </c>
    </row>
    <row r="696" spans="1:11" x14ac:dyDescent="0.25">
      <c r="A696">
        <v>28</v>
      </c>
      <c r="B696" s="13" t="str" cm="1">
        <f t="array" ref="B696">_xlfn.IFS(credit[[#This Row],[Age]]&lt;=25,"18-25",credit[[#This Row],[Age]]&lt;=35,"26-35",credit[[#This Row],[Age]]&lt;=45,"36-45",credit[[#This Row],[Age]]&lt;=60,"46-60",TRUE,"60+")</f>
        <v>26-35</v>
      </c>
      <c r="C696" t="s">
        <v>9</v>
      </c>
      <c r="D696">
        <v>2</v>
      </c>
      <c r="E696" t="s">
        <v>10</v>
      </c>
      <c r="F696" t="s">
        <v>12</v>
      </c>
      <c r="G696" t="s">
        <v>11</v>
      </c>
      <c r="H696">
        <v>2284</v>
      </c>
      <c r="I696">
        <v>24</v>
      </c>
      <c r="J696" t="s">
        <v>13</v>
      </c>
      <c r="K696" t="str">
        <f>IF(AND(credit[[#This Row],[Credit amount]]&gt;9000,credit[[#This Row],[Saving accounts]]="little"),"High","Low")</f>
        <v>Low</v>
      </c>
    </row>
    <row r="697" spans="1:11" x14ac:dyDescent="0.25">
      <c r="A697">
        <v>50</v>
      </c>
      <c r="B697" s="13" t="str" cm="1">
        <f t="array" ref="B697">_xlfn.IFS(credit[[#This Row],[Age]]&lt;=25,"18-25",credit[[#This Row],[Age]]&lt;=35,"26-35",credit[[#This Row],[Age]]&lt;=45,"36-45",credit[[#This Row],[Age]]&lt;=60,"46-60",TRUE,"60+")</f>
        <v>46-60</v>
      </c>
      <c r="C697" t="s">
        <v>9</v>
      </c>
      <c r="D697">
        <v>2</v>
      </c>
      <c r="E697" t="s">
        <v>21</v>
      </c>
      <c r="F697" t="s">
        <v>20</v>
      </c>
      <c r="G697" t="s">
        <v>11</v>
      </c>
      <c r="H697">
        <v>1236</v>
      </c>
      <c r="I697">
        <v>6</v>
      </c>
      <c r="J697" t="s">
        <v>19</v>
      </c>
      <c r="K697" t="str">
        <f>IF(AND(credit[[#This Row],[Credit amount]]&gt;9000,credit[[#This Row],[Saving accounts]]="little"),"High","Low")</f>
        <v>Low</v>
      </c>
    </row>
    <row r="698" spans="1:11" x14ac:dyDescent="0.25">
      <c r="A698">
        <v>29</v>
      </c>
      <c r="B698" s="13" t="str" cm="1">
        <f t="array" ref="B698">_xlfn.IFS(credit[[#This Row],[Age]]&lt;=25,"18-25",credit[[#This Row],[Age]]&lt;=35,"26-35",credit[[#This Row],[Age]]&lt;=45,"36-45",credit[[#This Row],[Age]]&lt;=60,"46-60",TRUE,"60+")</f>
        <v>26-35</v>
      </c>
      <c r="C698" t="s">
        <v>9</v>
      </c>
      <c r="D698">
        <v>2</v>
      </c>
      <c r="E698" t="s">
        <v>10</v>
      </c>
      <c r="F698" t="s">
        <v>12</v>
      </c>
      <c r="G698" t="s">
        <v>15</v>
      </c>
      <c r="H698">
        <v>1103</v>
      </c>
      <c r="I698">
        <v>12</v>
      </c>
      <c r="J698" t="s">
        <v>13</v>
      </c>
      <c r="K698" t="str">
        <f>IF(AND(credit[[#This Row],[Credit amount]]&gt;9000,credit[[#This Row],[Saving accounts]]="little"),"High","Low")</f>
        <v>Low</v>
      </c>
    </row>
    <row r="699" spans="1:11" x14ac:dyDescent="0.25">
      <c r="A699">
        <v>38</v>
      </c>
      <c r="B699" s="13" t="str" cm="1">
        <f t="array" ref="B699">_xlfn.IFS(credit[[#This Row],[Age]]&lt;=25,"18-25",credit[[#This Row],[Age]]&lt;=35,"26-35",credit[[#This Row],[Age]]&lt;=45,"36-45",credit[[#This Row],[Age]]&lt;=60,"46-60",TRUE,"60+")</f>
        <v>36-45</v>
      </c>
      <c r="C699" t="s">
        <v>14</v>
      </c>
      <c r="D699">
        <v>0</v>
      </c>
      <c r="E699" t="s">
        <v>10</v>
      </c>
      <c r="F699" t="s">
        <v>12</v>
      </c>
      <c r="G699" t="s">
        <v>11</v>
      </c>
      <c r="H699">
        <v>926</v>
      </c>
      <c r="I699">
        <v>12</v>
      </c>
      <c r="J699" t="s">
        <v>19</v>
      </c>
      <c r="K699" t="str">
        <f>IF(AND(credit[[#This Row],[Credit amount]]&gt;9000,credit[[#This Row],[Saving accounts]]="little"),"High","Low")</f>
        <v>Low</v>
      </c>
    </row>
    <row r="700" spans="1:11" x14ac:dyDescent="0.25">
      <c r="A700">
        <v>24</v>
      </c>
      <c r="B700" s="13" t="str" cm="1">
        <f t="array" ref="B700">_xlfn.IFS(credit[[#This Row],[Age]]&lt;=25,"18-25",credit[[#This Row],[Age]]&lt;=35,"26-35",credit[[#This Row],[Age]]&lt;=45,"36-45",credit[[#This Row],[Age]]&lt;=60,"46-60",TRUE,"60+")</f>
        <v>18-25</v>
      </c>
      <c r="C700" t="s">
        <v>9</v>
      </c>
      <c r="D700">
        <v>2</v>
      </c>
      <c r="E700" t="s">
        <v>10</v>
      </c>
      <c r="F700" t="s">
        <v>12</v>
      </c>
      <c r="G700" t="s">
        <v>11</v>
      </c>
      <c r="H700">
        <v>1800</v>
      </c>
      <c r="I700">
        <v>18</v>
      </c>
      <c r="J700" t="s">
        <v>13</v>
      </c>
      <c r="K700" t="str">
        <f>IF(AND(credit[[#This Row],[Credit amount]]&gt;9000,credit[[#This Row],[Saving accounts]]="little"),"High","Low")</f>
        <v>Low</v>
      </c>
    </row>
    <row r="701" spans="1:11" x14ac:dyDescent="0.25">
      <c r="A701">
        <v>40</v>
      </c>
      <c r="B701" s="13" t="str" cm="1">
        <f t="array" ref="B701">_xlfn.IFS(credit[[#This Row],[Age]]&lt;=25,"18-25",credit[[#This Row],[Age]]&lt;=35,"26-35",credit[[#This Row],[Age]]&lt;=45,"36-45",credit[[#This Row],[Age]]&lt;=60,"46-60",TRUE,"60+")</f>
        <v>36-45</v>
      </c>
      <c r="C701" t="s">
        <v>9</v>
      </c>
      <c r="D701">
        <v>3</v>
      </c>
      <c r="E701" t="s">
        <v>21</v>
      </c>
      <c r="F701" t="s">
        <v>12</v>
      </c>
      <c r="G701" t="s">
        <v>22</v>
      </c>
      <c r="H701">
        <v>1905</v>
      </c>
      <c r="I701">
        <v>15</v>
      </c>
      <c r="J701" t="s">
        <v>16</v>
      </c>
      <c r="K701" t="str">
        <f>IF(AND(credit[[#This Row],[Credit amount]]&gt;9000,credit[[#This Row],[Saving accounts]]="little"),"High","Low")</f>
        <v>Low</v>
      </c>
    </row>
    <row r="702" spans="1:11" x14ac:dyDescent="0.25">
      <c r="A702">
        <v>29</v>
      </c>
      <c r="B702" s="13" t="str" cm="1">
        <f t="array" ref="B702">_xlfn.IFS(credit[[#This Row],[Age]]&lt;=25,"18-25",credit[[#This Row],[Age]]&lt;=35,"26-35",credit[[#This Row],[Age]]&lt;=45,"36-45",credit[[#This Row],[Age]]&lt;=60,"46-60",TRUE,"60+")</f>
        <v>26-35</v>
      </c>
      <c r="C702" t="s">
        <v>14</v>
      </c>
      <c r="D702">
        <v>1</v>
      </c>
      <c r="E702" t="s">
        <v>21</v>
      </c>
      <c r="F702" t="s">
        <v>20</v>
      </c>
      <c r="G702" t="s">
        <v>11</v>
      </c>
      <c r="H702">
        <v>1123</v>
      </c>
      <c r="I702">
        <v>12</v>
      </c>
      <c r="J702" t="s">
        <v>18</v>
      </c>
      <c r="K702" t="str">
        <f>IF(AND(credit[[#This Row],[Credit amount]]&gt;9000,credit[[#This Row],[Saving accounts]]="little"),"High","Low")</f>
        <v>Low</v>
      </c>
    </row>
    <row r="703" spans="1:11" x14ac:dyDescent="0.25">
      <c r="A703">
        <v>46</v>
      </c>
      <c r="B703" s="13" t="str" cm="1">
        <f t="array" ref="B703">_xlfn.IFS(credit[[#This Row],[Age]]&lt;=25,"18-25",credit[[#This Row],[Age]]&lt;=35,"26-35",credit[[#This Row],[Age]]&lt;=45,"36-45",credit[[#This Row],[Age]]&lt;=60,"46-60",TRUE,"60+")</f>
        <v>46-60</v>
      </c>
      <c r="C703" t="s">
        <v>9</v>
      </c>
      <c r="D703">
        <v>2</v>
      </c>
      <c r="E703" t="s">
        <v>17</v>
      </c>
      <c r="F703" t="s">
        <v>12</v>
      </c>
      <c r="G703" t="s">
        <v>12</v>
      </c>
      <c r="H703">
        <v>6331</v>
      </c>
      <c r="I703">
        <v>48</v>
      </c>
      <c r="J703" t="s">
        <v>19</v>
      </c>
      <c r="K703" t="str">
        <f>IF(AND(credit[[#This Row],[Credit amount]]&gt;9000,credit[[#This Row],[Saving accounts]]="little"),"High","Low")</f>
        <v>Low</v>
      </c>
    </row>
    <row r="704" spans="1:11" x14ac:dyDescent="0.25">
      <c r="A704">
        <v>47</v>
      </c>
      <c r="B704" s="13" t="str" cm="1">
        <f t="array" ref="B704">_xlfn.IFS(credit[[#This Row],[Age]]&lt;=25,"18-25",credit[[#This Row],[Age]]&lt;=35,"26-35",credit[[#This Row],[Age]]&lt;=45,"36-45",credit[[#This Row],[Age]]&lt;=60,"46-60",TRUE,"60+")</f>
        <v>46-60</v>
      </c>
      <c r="C704" t="s">
        <v>14</v>
      </c>
      <c r="D704">
        <v>2</v>
      </c>
      <c r="E704" t="s">
        <v>17</v>
      </c>
      <c r="F704" t="s">
        <v>15</v>
      </c>
      <c r="G704" t="s">
        <v>22</v>
      </c>
      <c r="H704">
        <v>1377</v>
      </c>
      <c r="I704">
        <v>24</v>
      </c>
      <c r="J704" t="s">
        <v>13</v>
      </c>
      <c r="K704" t="str">
        <f>IF(AND(credit[[#This Row],[Credit amount]]&gt;9000,credit[[#This Row],[Saving accounts]]="little"),"High","Low")</f>
        <v>Low</v>
      </c>
    </row>
    <row r="705" spans="1:11" x14ac:dyDescent="0.25">
      <c r="A705">
        <v>41</v>
      </c>
      <c r="B705" s="13" t="str" cm="1">
        <f t="array" ref="B705">_xlfn.IFS(credit[[#This Row],[Age]]&lt;=25,"18-25",credit[[#This Row],[Age]]&lt;=35,"26-35",credit[[#This Row],[Age]]&lt;=45,"36-45",credit[[#This Row],[Age]]&lt;=60,"46-60",TRUE,"60+")</f>
        <v>36-45</v>
      </c>
      <c r="C705" t="s">
        <v>9</v>
      </c>
      <c r="D705">
        <v>2</v>
      </c>
      <c r="E705" t="s">
        <v>10</v>
      </c>
      <c r="F705" t="s">
        <v>15</v>
      </c>
      <c r="G705" t="s">
        <v>15</v>
      </c>
      <c r="H705">
        <v>2503</v>
      </c>
      <c r="I705">
        <v>30</v>
      </c>
      <c r="J705" t="s">
        <v>23</v>
      </c>
      <c r="K705" t="str">
        <f>IF(AND(credit[[#This Row],[Credit amount]]&gt;9000,credit[[#This Row],[Saving accounts]]="little"),"High","Low")</f>
        <v>Low</v>
      </c>
    </row>
    <row r="706" spans="1:11" x14ac:dyDescent="0.25">
      <c r="A706">
        <v>32</v>
      </c>
      <c r="B706" s="13" t="str" cm="1">
        <f t="array" ref="B706">_xlfn.IFS(credit[[#This Row],[Age]]&lt;=25,"18-25",credit[[#This Row],[Age]]&lt;=35,"26-35",credit[[#This Row],[Age]]&lt;=45,"36-45",credit[[#This Row],[Age]]&lt;=60,"46-60",TRUE,"60+")</f>
        <v>26-35</v>
      </c>
      <c r="C706" t="s">
        <v>14</v>
      </c>
      <c r="D706">
        <v>2</v>
      </c>
      <c r="E706" t="s">
        <v>10</v>
      </c>
      <c r="F706" t="s">
        <v>12</v>
      </c>
      <c r="G706" t="s">
        <v>15</v>
      </c>
      <c r="H706">
        <v>2528</v>
      </c>
      <c r="I706">
        <v>27</v>
      </c>
      <c r="J706" t="s">
        <v>23</v>
      </c>
      <c r="K706" t="str">
        <f>IF(AND(credit[[#This Row],[Credit amount]]&gt;9000,credit[[#This Row],[Saving accounts]]="little"),"High","Low")</f>
        <v>Low</v>
      </c>
    </row>
    <row r="707" spans="1:11" x14ac:dyDescent="0.25">
      <c r="A707">
        <v>35</v>
      </c>
      <c r="B707" s="13" t="str" cm="1">
        <f t="array" ref="B707">_xlfn.IFS(credit[[#This Row],[Age]]&lt;=25,"18-25",credit[[#This Row],[Age]]&lt;=35,"26-35",credit[[#This Row],[Age]]&lt;=45,"36-45",credit[[#This Row],[Age]]&lt;=60,"46-60",TRUE,"60+")</f>
        <v>26-35</v>
      </c>
      <c r="C707" t="s">
        <v>14</v>
      </c>
      <c r="D707">
        <v>2</v>
      </c>
      <c r="E707" t="s">
        <v>17</v>
      </c>
      <c r="F707" t="s">
        <v>20</v>
      </c>
      <c r="G707" t="s">
        <v>11</v>
      </c>
      <c r="H707">
        <v>5324</v>
      </c>
      <c r="I707">
        <v>15</v>
      </c>
      <c r="J707" t="s">
        <v>19</v>
      </c>
      <c r="K707" t="str">
        <f>IF(AND(credit[[#This Row],[Credit amount]]&gt;9000,credit[[#This Row],[Saving accounts]]="little"),"High","Low")</f>
        <v>Low</v>
      </c>
    </row>
    <row r="708" spans="1:11" x14ac:dyDescent="0.25">
      <c r="A708">
        <v>24</v>
      </c>
      <c r="B708" s="13" t="str" cm="1">
        <f t="array" ref="B708">_xlfn.IFS(credit[[#This Row],[Age]]&lt;=25,"18-25",credit[[#This Row],[Age]]&lt;=35,"26-35",credit[[#This Row],[Age]]&lt;=45,"36-45",credit[[#This Row],[Age]]&lt;=60,"46-60",TRUE,"60+")</f>
        <v>18-25</v>
      </c>
      <c r="C708" t="s">
        <v>9</v>
      </c>
      <c r="D708">
        <v>2</v>
      </c>
      <c r="E708" t="s">
        <v>10</v>
      </c>
      <c r="F708" t="s">
        <v>15</v>
      </c>
      <c r="G708" t="s">
        <v>15</v>
      </c>
      <c r="H708">
        <v>6560</v>
      </c>
      <c r="I708">
        <v>48</v>
      </c>
      <c r="J708" t="s">
        <v>19</v>
      </c>
      <c r="K708" t="str">
        <f>IF(AND(credit[[#This Row],[Credit amount]]&gt;9000,credit[[#This Row],[Saving accounts]]="little"),"High","Low")</f>
        <v>Low</v>
      </c>
    </row>
    <row r="709" spans="1:11" x14ac:dyDescent="0.25">
      <c r="A709">
        <v>25</v>
      </c>
      <c r="B709" s="13" t="str" cm="1">
        <f t="array" ref="B709">_xlfn.IFS(credit[[#This Row],[Age]]&lt;=25,"18-25",credit[[#This Row],[Age]]&lt;=35,"26-35",credit[[#This Row],[Age]]&lt;=45,"36-45",credit[[#This Row],[Age]]&lt;=60,"46-60",TRUE,"60+")</f>
        <v>18-25</v>
      </c>
      <c r="C709" t="s">
        <v>14</v>
      </c>
      <c r="D709">
        <v>2</v>
      </c>
      <c r="E709" t="s">
        <v>21</v>
      </c>
      <c r="F709" t="s">
        <v>12</v>
      </c>
      <c r="G709" t="s">
        <v>15</v>
      </c>
      <c r="H709">
        <v>2969</v>
      </c>
      <c r="I709">
        <v>12</v>
      </c>
      <c r="J709" t="s">
        <v>18</v>
      </c>
      <c r="K709" t="str">
        <f>IF(AND(credit[[#This Row],[Credit amount]]&gt;9000,credit[[#This Row],[Saving accounts]]="little"),"High","Low")</f>
        <v>Low</v>
      </c>
    </row>
    <row r="710" spans="1:11" x14ac:dyDescent="0.25">
      <c r="A710">
        <v>25</v>
      </c>
      <c r="B710" s="13" t="str" cm="1">
        <f t="array" ref="B710">_xlfn.IFS(credit[[#This Row],[Age]]&lt;=25,"18-25",credit[[#This Row],[Age]]&lt;=35,"26-35",credit[[#This Row],[Age]]&lt;=45,"36-45",credit[[#This Row],[Age]]&lt;=60,"46-60",TRUE,"60+")</f>
        <v>18-25</v>
      </c>
      <c r="C710" t="s">
        <v>14</v>
      </c>
      <c r="D710">
        <v>2</v>
      </c>
      <c r="E710" t="s">
        <v>10</v>
      </c>
      <c r="F710" t="s">
        <v>12</v>
      </c>
      <c r="G710" t="s">
        <v>15</v>
      </c>
      <c r="H710">
        <v>1206</v>
      </c>
      <c r="I710">
        <v>9</v>
      </c>
      <c r="J710" t="s">
        <v>13</v>
      </c>
      <c r="K710" t="str">
        <f>IF(AND(credit[[#This Row],[Credit amount]]&gt;9000,credit[[#This Row],[Saving accounts]]="little"),"High","Low")</f>
        <v>Low</v>
      </c>
    </row>
    <row r="711" spans="1:11" x14ac:dyDescent="0.25">
      <c r="A711">
        <v>37</v>
      </c>
      <c r="B711" s="13" t="str" cm="1">
        <f t="array" ref="B711">_xlfn.IFS(credit[[#This Row],[Age]]&lt;=25,"18-25",credit[[#This Row],[Age]]&lt;=35,"26-35",credit[[#This Row],[Age]]&lt;=45,"36-45",credit[[#This Row],[Age]]&lt;=60,"46-60",TRUE,"60+")</f>
        <v>36-45</v>
      </c>
      <c r="C711" t="s">
        <v>9</v>
      </c>
      <c r="D711">
        <v>1</v>
      </c>
      <c r="E711" t="s">
        <v>10</v>
      </c>
      <c r="F711" t="s">
        <v>12</v>
      </c>
      <c r="G711" t="s">
        <v>15</v>
      </c>
      <c r="H711">
        <v>2118</v>
      </c>
      <c r="I711">
        <v>9</v>
      </c>
      <c r="J711" t="s">
        <v>13</v>
      </c>
      <c r="K711" t="str">
        <f>IF(AND(credit[[#This Row],[Credit amount]]&gt;9000,credit[[#This Row],[Saving accounts]]="little"),"High","Low")</f>
        <v>Low</v>
      </c>
    </row>
    <row r="712" spans="1:11" x14ac:dyDescent="0.25">
      <c r="A712">
        <v>32</v>
      </c>
      <c r="B712" s="13" t="str" cm="1">
        <f t="array" ref="B712">_xlfn.IFS(credit[[#This Row],[Age]]&lt;=25,"18-25",credit[[#This Row],[Age]]&lt;=35,"26-35",credit[[#This Row],[Age]]&lt;=45,"36-45",credit[[#This Row],[Age]]&lt;=60,"46-60",TRUE,"60+")</f>
        <v>26-35</v>
      </c>
      <c r="C712" t="s">
        <v>9</v>
      </c>
      <c r="D712">
        <v>3</v>
      </c>
      <c r="E712" t="s">
        <v>10</v>
      </c>
      <c r="F712" t="s">
        <v>20</v>
      </c>
      <c r="G712" t="s">
        <v>11</v>
      </c>
      <c r="H712">
        <v>629</v>
      </c>
      <c r="I712">
        <v>18</v>
      </c>
      <c r="J712" t="s">
        <v>13</v>
      </c>
      <c r="K712" t="str">
        <f>IF(AND(credit[[#This Row],[Credit amount]]&gt;9000,credit[[#This Row],[Saving accounts]]="little"),"High","Low")</f>
        <v>Low</v>
      </c>
    </row>
    <row r="713" spans="1:11" x14ac:dyDescent="0.25">
      <c r="A713">
        <v>35</v>
      </c>
      <c r="B713" s="13" t="str" cm="1">
        <f t="array" ref="B713">_xlfn.IFS(credit[[#This Row],[Age]]&lt;=25,"18-25",credit[[#This Row],[Age]]&lt;=35,"26-35",credit[[#This Row],[Age]]&lt;=45,"36-45",credit[[#This Row],[Age]]&lt;=60,"46-60",TRUE,"60+")</f>
        <v>26-35</v>
      </c>
      <c r="C713" t="s">
        <v>14</v>
      </c>
      <c r="D713">
        <v>2</v>
      </c>
      <c r="E713" t="s">
        <v>17</v>
      </c>
      <c r="F713" t="s">
        <v>12</v>
      </c>
      <c r="G713" t="s">
        <v>12</v>
      </c>
      <c r="H713">
        <v>1198</v>
      </c>
      <c r="I713">
        <v>6</v>
      </c>
      <c r="J713" t="s">
        <v>16</v>
      </c>
      <c r="K713" t="str">
        <f>IF(AND(credit[[#This Row],[Credit amount]]&gt;9000,credit[[#This Row],[Saving accounts]]="little"),"High","Low")</f>
        <v>Low</v>
      </c>
    </row>
    <row r="714" spans="1:11" x14ac:dyDescent="0.25">
      <c r="A714">
        <v>46</v>
      </c>
      <c r="B714" s="13" t="str" cm="1">
        <f t="array" ref="B714">_xlfn.IFS(credit[[#This Row],[Age]]&lt;=25,"18-25",credit[[#This Row],[Age]]&lt;=35,"26-35",credit[[#This Row],[Age]]&lt;=45,"36-45",credit[[#This Row],[Age]]&lt;=60,"46-60",TRUE,"60+")</f>
        <v>46-60</v>
      </c>
      <c r="C714" t="s">
        <v>9</v>
      </c>
      <c r="D714">
        <v>3</v>
      </c>
      <c r="E714" t="s">
        <v>10</v>
      </c>
      <c r="F714" t="s">
        <v>11</v>
      </c>
      <c r="G714" t="s">
        <v>11</v>
      </c>
      <c r="H714">
        <v>2476</v>
      </c>
      <c r="I714">
        <v>21</v>
      </c>
      <c r="J714" t="s">
        <v>19</v>
      </c>
      <c r="K714" t="str">
        <f>IF(AND(credit[[#This Row],[Credit amount]]&gt;9000,credit[[#This Row],[Saving accounts]]="little"),"High","Low")</f>
        <v>Low</v>
      </c>
    </row>
    <row r="715" spans="1:11" x14ac:dyDescent="0.25">
      <c r="A715">
        <v>25</v>
      </c>
      <c r="B715" s="13" t="str" cm="1">
        <f t="array" ref="B715">_xlfn.IFS(credit[[#This Row],[Age]]&lt;=25,"18-25",credit[[#This Row],[Age]]&lt;=35,"26-35",credit[[#This Row],[Age]]&lt;=45,"36-45",credit[[#This Row],[Age]]&lt;=60,"46-60",TRUE,"60+")</f>
        <v>18-25</v>
      </c>
      <c r="C715" t="s">
        <v>9</v>
      </c>
      <c r="D715">
        <v>1</v>
      </c>
      <c r="E715" t="s">
        <v>10</v>
      </c>
      <c r="F715" t="s">
        <v>12</v>
      </c>
      <c r="G715" t="s">
        <v>12</v>
      </c>
      <c r="H715">
        <v>1138</v>
      </c>
      <c r="I715">
        <v>9</v>
      </c>
      <c r="J715" t="s">
        <v>13</v>
      </c>
      <c r="K715" t="str">
        <f>IF(AND(credit[[#This Row],[Credit amount]]&gt;9000,credit[[#This Row],[Saving accounts]]="little"),"High","Low")</f>
        <v>Low</v>
      </c>
    </row>
    <row r="716" spans="1:11" x14ac:dyDescent="0.25">
      <c r="A716">
        <v>27</v>
      </c>
      <c r="B716" s="13" t="str" cm="1">
        <f t="array" ref="B716">_xlfn.IFS(credit[[#This Row],[Age]]&lt;=25,"18-25",credit[[#This Row],[Age]]&lt;=35,"26-35",credit[[#This Row],[Age]]&lt;=45,"36-45",credit[[#This Row],[Age]]&lt;=60,"46-60",TRUE,"60+")</f>
        <v>26-35</v>
      </c>
      <c r="C716" t="s">
        <v>9</v>
      </c>
      <c r="D716">
        <v>3</v>
      </c>
      <c r="E716" t="s">
        <v>10</v>
      </c>
      <c r="F716" t="s">
        <v>12</v>
      </c>
      <c r="G716" t="s">
        <v>15</v>
      </c>
      <c r="H716">
        <v>14027</v>
      </c>
      <c r="I716">
        <v>60</v>
      </c>
      <c r="J716" t="s">
        <v>19</v>
      </c>
      <c r="K716" t="str">
        <f>IF(AND(credit[[#This Row],[Credit amount]]&gt;9000,credit[[#This Row],[Saving accounts]]="little"),"High","Low")</f>
        <v>High</v>
      </c>
    </row>
    <row r="717" spans="1:11" x14ac:dyDescent="0.25">
      <c r="A717">
        <v>63</v>
      </c>
      <c r="B717" s="13" t="str" cm="1">
        <f t="array" ref="B717">_xlfn.IFS(credit[[#This Row],[Age]]&lt;=25,"18-25",credit[[#This Row],[Age]]&lt;=35,"26-35",credit[[#This Row],[Age]]&lt;=45,"36-45",credit[[#This Row],[Age]]&lt;=60,"46-60",TRUE,"60+")</f>
        <v>60+</v>
      </c>
      <c r="C717" t="s">
        <v>9</v>
      </c>
      <c r="D717">
        <v>2</v>
      </c>
      <c r="E717" t="s">
        <v>10</v>
      </c>
      <c r="F717" t="s">
        <v>11</v>
      </c>
      <c r="G717" t="s">
        <v>11</v>
      </c>
      <c r="H717">
        <v>7596</v>
      </c>
      <c r="I717">
        <v>30</v>
      </c>
      <c r="J717" t="s">
        <v>19</v>
      </c>
      <c r="K717" t="str">
        <f>IF(AND(credit[[#This Row],[Credit amount]]&gt;9000,credit[[#This Row],[Saving accounts]]="little"),"High","Low")</f>
        <v>Low</v>
      </c>
    </row>
    <row r="718" spans="1:11" x14ac:dyDescent="0.25">
      <c r="A718">
        <v>40</v>
      </c>
      <c r="B718" s="13" t="str" cm="1">
        <f t="array" ref="B718">_xlfn.IFS(credit[[#This Row],[Age]]&lt;=25,"18-25",credit[[#This Row],[Age]]&lt;=35,"26-35",credit[[#This Row],[Age]]&lt;=45,"36-45",credit[[#This Row],[Age]]&lt;=60,"46-60",TRUE,"60+")</f>
        <v>36-45</v>
      </c>
      <c r="C718" t="s">
        <v>9</v>
      </c>
      <c r="D718">
        <v>2</v>
      </c>
      <c r="E718" t="s">
        <v>10</v>
      </c>
      <c r="F718" t="s">
        <v>11</v>
      </c>
      <c r="G718" t="s">
        <v>11</v>
      </c>
      <c r="H718">
        <v>3077</v>
      </c>
      <c r="I718">
        <v>30</v>
      </c>
      <c r="J718" t="s">
        <v>13</v>
      </c>
      <c r="K718" t="str">
        <f>IF(AND(credit[[#This Row],[Credit amount]]&gt;9000,credit[[#This Row],[Saving accounts]]="little"),"High","Low")</f>
        <v>Low</v>
      </c>
    </row>
    <row r="719" spans="1:11" x14ac:dyDescent="0.25">
      <c r="A719">
        <v>32</v>
      </c>
      <c r="B719" s="13" t="str" cm="1">
        <f t="array" ref="B719">_xlfn.IFS(credit[[#This Row],[Age]]&lt;=25,"18-25",credit[[#This Row],[Age]]&lt;=35,"26-35",credit[[#This Row],[Age]]&lt;=45,"36-45",credit[[#This Row],[Age]]&lt;=60,"46-60",TRUE,"60+")</f>
        <v>26-35</v>
      </c>
      <c r="C719" t="s">
        <v>9</v>
      </c>
      <c r="D719">
        <v>3</v>
      </c>
      <c r="E719" t="s">
        <v>17</v>
      </c>
      <c r="F719" t="s">
        <v>12</v>
      </c>
      <c r="G719" t="s">
        <v>11</v>
      </c>
      <c r="H719">
        <v>1505</v>
      </c>
      <c r="I719">
        <v>18</v>
      </c>
      <c r="J719" t="s">
        <v>13</v>
      </c>
      <c r="K719" t="str">
        <f>IF(AND(credit[[#This Row],[Credit amount]]&gt;9000,credit[[#This Row],[Saving accounts]]="little"),"High","Low")</f>
        <v>Low</v>
      </c>
    </row>
    <row r="720" spans="1:11" x14ac:dyDescent="0.25">
      <c r="A720">
        <v>31</v>
      </c>
      <c r="B720" s="13" t="str" cm="1">
        <f t="array" ref="B720">_xlfn.IFS(credit[[#This Row],[Age]]&lt;=25,"18-25",credit[[#This Row],[Age]]&lt;=35,"26-35",credit[[#This Row],[Age]]&lt;=45,"36-45",credit[[#This Row],[Age]]&lt;=60,"46-60",TRUE,"60+")</f>
        <v>26-35</v>
      </c>
      <c r="C720" t="s">
        <v>9</v>
      </c>
      <c r="D720">
        <v>2</v>
      </c>
      <c r="E720" t="s">
        <v>10</v>
      </c>
      <c r="F720" t="s">
        <v>11</v>
      </c>
      <c r="G720" t="s">
        <v>22</v>
      </c>
      <c r="H720">
        <v>3148</v>
      </c>
      <c r="I720">
        <v>24</v>
      </c>
      <c r="J720" t="s">
        <v>13</v>
      </c>
      <c r="K720" t="str">
        <f>IF(AND(credit[[#This Row],[Credit amount]]&gt;9000,credit[[#This Row],[Saving accounts]]="little"),"High","Low")</f>
        <v>Low</v>
      </c>
    </row>
    <row r="721" spans="1:11" x14ac:dyDescent="0.25">
      <c r="A721">
        <v>31</v>
      </c>
      <c r="B721" s="13" t="str" cm="1">
        <f t="array" ref="B721">_xlfn.IFS(credit[[#This Row],[Age]]&lt;=25,"18-25",credit[[#This Row],[Age]]&lt;=35,"26-35",credit[[#This Row],[Age]]&lt;=45,"36-45",credit[[#This Row],[Age]]&lt;=60,"46-60",TRUE,"60+")</f>
        <v>26-35</v>
      </c>
      <c r="C721" t="s">
        <v>9</v>
      </c>
      <c r="D721">
        <v>2</v>
      </c>
      <c r="E721" t="s">
        <v>10</v>
      </c>
      <c r="F721" t="s">
        <v>15</v>
      </c>
      <c r="G721" t="s">
        <v>15</v>
      </c>
      <c r="H721">
        <v>6148</v>
      </c>
      <c r="I721">
        <v>20</v>
      </c>
      <c r="J721" t="s">
        <v>19</v>
      </c>
      <c r="K721" t="str">
        <f>IF(AND(credit[[#This Row],[Credit amount]]&gt;9000,credit[[#This Row],[Saving accounts]]="little"),"High","Low")</f>
        <v>Low</v>
      </c>
    </row>
    <row r="722" spans="1:11" x14ac:dyDescent="0.25">
      <c r="A722">
        <v>34</v>
      </c>
      <c r="B722" s="13" t="str" cm="1">
        <f t="array" ref="B722">_xlfn.IFS(credit[[#This Row],[Age]]&lt;=25,"18-25",credit[[#This Row],[Age]]&lt;=35,"26-35",credit[[#This Row],[Age]]&lt;=45,"36-45",credit[[#This Row],[Age]]&lt;=60,"46-60",TRUE,"60+")</f>
        <v>26-35</v>
      </c>
      <c r="C722" t="s">
        <v>9</v>
      </c>
      <c r="D722">
        <v>3</v>
      </c>
      <c r="E722" t="s">
        <v>10</v>
      </c>
      <c r="F722" t="s">
        <v>12</v>
      </c>
      <c r="G722" t="s">
        <v>22</v>
      </c>
      <c r="H722">
        <v>1337</v>
      </c>
      <c r="I722">
        <v>9</v>
      </c>
      <c r="J722" t="s">
        <v>13</v>
      </c>
      <c r="K722" t="str">
        <f>IF(AND(credit[[#This Row],[Credit amount]]&gt;9000,credit[[#This Row],[Saving accounts]]="little"),"High","Low")</f>
        <v>Low</v>
      </c>
    </row>
    <row r="723" spans="1:11" x14ac:dyDescent="0.25">
      <c r="A723">
        <v>24</v>
      </c>
      <c r="B723" s="13" t="str" cm="1">
        <f t="array" ref="B723">_xlfn.IFS(credit[[#This Row],[Age]]&lt;=25,"18-25",credit[[#This Row],[Age]]&lt;=35,"26-35",credit[[#This Row],[Age]]&lt;=45,"36-45",credit[[#This Row],[Age]]&lt;=60,"46-60",TRUE,"60+")</f>
        <v>18-25</v>
      </c>
      <c r="C723" t="s">
        <v>14</v>
      </c>
      <c r="D723">
        <v>2</v>
      </c>
      <c r="E723" t="s">
        <v>21</v>
      </c>
      <c r="F723" t="s">
        <v>22</v>
      </c>
      <c r="G723" t="s">
        <v>15</v>
      </c>
      <c r="H723">
        <v>433</v>
      </c>
      <c r="I723">
        <v>6</v>
      </c>
      <c r="J723" t="s">
        <v>16</v>
      </c>
      <c r="K723" t="str">
        <f>IF(AND(credit[[#This Row],[Credit amount]]&gt;9000,credit[[#This Row],[Saving accounts]]="little"),"High","Low")</f>
        <v>Low</v>
      </c>
    </row>
    <row r="724" spans="1:11" x14ac:dyDescent="0.25">
      <c r="A724">
        <v>24</v>
      </c>
      <c r="B724" s="13" t="str" cm="1">
        <f t="array" ref="B724">_xlfn.IFS(credit[[#This Row],[Age]]&lt;=25,"18-25",credit[[#This Row],[Age]]&lt;=35,"26-35",credit[[#This Row],[Age]]&lt;=45,"36-45",credit[[#This Row],[Age]]&lt;=60,"46-60",TRUE,"60+")</f>
        <v>18-25</v>
      </c>
      <c r="C724" t="s">
        <v>14</v>
      </c>
      <c r="D724">
        <v>1</v>
      </c>
      <c r="E724" t="s">
        <v>10</v>
      </c>
      <c r="F724" t="s">
        <v>12</v>
      </c>
      <c r="G724" t="s">
        <v>12</v>
      </c>
      <c r="H724">
        <v>1228</v>
      </c>
      <c r="I724">
        <v>12</v>
      </c>
      <c r="J724" t="s">
        <v>19</v>
      </c>
      <c r="K724" t="str">
        <f>IF(AND(credit[[#This Row],[Credit amount]]&gt;9000,credit[[#This Row],[Saving accounts]]="little"),"High","Low")</f>
        <v>Low</v>
      </c>
    </row>
    <row r="725" spans="1:11" x14ac:dyDescent="0.25">
      <c r="A725">
        <v>66</v>
      </c>
      <c r="B725" s="13" t="str" cm="1">
        <f t="array" ref="B725">_xlfn.IFS(credit[[#This Row],[Age]]&lt;=25,"18-25",credit[[#This Row],[Age]]&lt;=35,"26-35",credit[[#This Row],[Age]]&lt;=45,"36-45",credit[[#This Row],[Age]]&lt;=60,"46-60",TRUE,"60+")</f>
        <v>60+</v>
      </c>
      <c r="C725" t="s">
        <v>14</v>
      </c>
      <c r="D725">
        <v>1</v>
      </c>
      <c r="E725" t="s">
        <v>10</v>
      </c>
      <c r="F725" t="s">
        <v>20</v>
      </c>
      <c r="G725" t="s">
        <v>15</v>
      </c>
      <c r="H725">
        <v>790</v>
      </c>
      <c r="I725">
        <v>9</v>
      </c>
      <c r="J725" t="s">
        <v>13</v>
      </c>
      <c r="K725" t="str">
        <f>IF(AND(credit[[#This Row],[Credit amount]]&gt;9000,credit[[#This Row],[Saving accounts]]="little"),"High","Low")</f>
        <v>Low</v>
      </c>
    </row>
    <row r="726" spans="1:11" x14ac:dyDescent="0.25">
      <c r="A726">
        <v>21</v>
      </c>
      <c r="B726" s="13" t="str" cm="1">
        <f t="array" ref="B726">_xlfn.IFS(credit[[#This Row],[Age]]&lt;=25,"18-25",credit[[#This Row],[Age]]&lt;=35,"26-35",credit[[#This Row],[Age]]&lt;=45,"36-45",credit[[#This Row],[Age]]&lt;=60,"46-60",TRUE,"60+")</f>
        <v>18-25</v>
      </c>
      <c r="C726" t="s">
        <v>14</v>
      </c>
      <c r="D726">
        <v>2</v>
      </c>
      <c r="E726" t="s">
        <v>21</v>
      </c>
      <c r="F726" t="s">
        <v>12</v>
      </c>
      <c r="G726" t="s">
        <v>11</v>
      </c>
      <c r="H726">
        <v>2570</v>
      </c>
      <c r="I726">
        <v>27</v>
      </c>
      <c r="J726" t="s">
        <v>19</v>
      </c>
      <c r="K726" t="str">
        <f>IF(AND(credit[[#This Row],[Credit amount]]&gt;9000,credit[[#This Row],[Saving accounts]]="little"),"High","Low")</f>
        <v>Low</v>
      </c>
    </row>
    <row r="727" spans="1:11" x14ac:dyDescent="0.25">
      <c r="A727">
        <v>41</v>
      </c>
      <c r="B727" s="13" t="str" cm="1">
        <f t="array" ref="B727">_xlfn.IFS(credit[[#This Row],[Age]]&lt;=25,"18-25",credit[[#This Row],[Age]]&lt;=35,"26-35",credit[[#This Row],[Age]]&lt;=45,"36-45",credit[[#This Row],[Age]]&lt;=60,"46-60",TRUE,"60+")</f>
        <v>36-45</v>
      </c>
      <c r="C727" t="s">
        <v>14</v>
      </c>
      <c r="D727">
        <v>1</v>
      </c>
      <c r="E727" t="s">
        <v>10</v>
      </c>
      <c r="F727" t="s">
        <v>22</v>
      </c>
      <c r="G727" t="s">
        <v>11</v>
      </c>
      <c r="H727">
        <v>250</v>
      </c>
      <c r="I727">
        <v>6</v>
      </c>
      <c r="J727" t="s">
        <v>19</v>
      </c>
      <c r="K727" t="str">
        <f>IF(AND(credit[[#This Row],[Credit amount]]&gt;9000,credit[[#This Row],[Saving accounts]]="little"),"High","Low")</f>
        <v>Low</v>
      </c>
    </row>
    <row r="728" spans="1:11" x14ac:dyDescent="0.25">
      <c r="A728">
        <v>47</v>
      </c>
      <c r="B728" s="13" t="str" cm="1">
        <f t="array" ref="B728">_xlfn.IFS(credit[[#This Row],[Age]]&lt;=25,"18-25",credit[[#This Row],[Age]]&lt;=35,"26-35",credit[[#This Row],[Age]]&lt;=45,"36-45",credit[[#This Row],[Age]]&lt;=60,"46-60",TRUE,"60+")</f>
        <v>46-60</v>
      </c>
      <c r="C728" t="s">
        <v>9</v>
      </c>
      <c r="D728">
        <v>1</v>
      </c>
      <c r="E728" t="s">
        <v>10</v>
      </c>
      <c r="F728" t="s">
        <v>20</v>
      </c>
      <c r="G728" t="s">
        <v>11</v>
      </c>
      <c r="H728">
        <v>1316</v>
      </c>
      <c r="I728">
        <v>15</v>
      </c>
      <c r="J728" t="s">
        <v>13</v>
      </c>
      <c r="K728" t="str">
        <f>IF(AND(credit[[#This Row],[Credit amount]]&gt;9000,credit[[#This Row],[Saving accounts]]="little"),"High","Low")</f>
        <v>Low</v>
      </c>
    </row>
    <row r="729" spans="1:11" x14ac:dyDescent="0.25">
      <c r="A729">
        <v>25</v>
      </c>
      <c r="B729" s="13" t="str" cm="1">
        <f t="array" ref="B729">_xlfn.IFS(credit[[#This Row],[Age]]&lt;=25,"18-25",credit[[#This Row],[Age]]&lt;=35,"26-35",credit[[#This Row],[Age]]&lt;=45,"36-45",credit[[#This Row],[Age]]&lt;=60,"46-60",TRUE,"60+")</f>
        <v>18-25</v>
      </c>
      <c r="C729" t="s">
        <v>14</v>
      </c>
      <c r="D729">
        <v>2</v>
      </c>
      <c r="E729" t="s">
        <v>21</v>
      </c>
      <c r="F729" t="s">
        <v>12</v>
      </c>
      <c r="G729" t="s">
        <v>12</v>
      </c>
      <c r="H729">
        <v>1882</v>
      </c>
      <c r="I729">
        <v>18</v>
      </c>
      <c r="J729" t="s">
        <v>13</v>
      </c>
      <c r="K729" t="str">
        <f>IF(AND(credit[[#This Row],[Credit amount]]&gt;9000,credit[[#This Row],[Saving accounts]]="little"),"High","Low")</f>
        <v>Low</v>
      </c>
    </row>
    <row r="730" spans="1:11" x14ac:dyDescent="0.25">
      <c r="A730">
        <v>59</v>
      </c>
      <c r="B730" s="13" t="str" cm="1">
        <f t="array" ref="B730">_xlfn.IFS(credit[[#This Row],[Age]]&lt;=25,"18-25",credit[[#This Row],[Age]]&lt;=35,"26-35",credit[[#This Row],[Age]]&lt;=45,"36-45",credit[[#This Row],[Age]]&lt;=60,"46-60",TRUE,"60+")</f>
        <v>46-60</v>
      </c>
      <c r="C730" t="s">
        <v>14</v>
      </c>
      <c r="D730">
        <v>2</v>
      </c>
      <c r="E730" t="s">
        <v>21</v>
      </c>
      <c r="F730" t="s">
        <v>12</v>
      </c>
      <c r="G730" t="s">
        <v>15</v>
      </c>
      <c r="H730">
        <v>6416</v>
      </c>
      <c r="I730">
        <v>48</v>
      </c>
      <c r="J730" t="s">
        <v>23</v>
      </c>
      <c r="K730" t="str">
        <f>IF(AND(credit[[#This Row],[Credit amount]]&gt;9000,credit[[#This Row],[Saving accounts]]="little"),"High","Low")</f>
        <v>Low</v>
      </c>
    </row>
    <row r="731" spans="1:11" x14ac:dyDescent="0.25">
      <c r="A731">
        <v>36</v>
      </c>
      <c r="B731" s="13" t="str" cm="1">
        <f t="array" ref="B731">_xlfn.IFS(credit[[#This Row],[Age]]&lt;=25,"18-25",credit[[#This Row],[Age]]&lt;=35,"26-35",credit[[#This Row],[Age]]&lt;=45,"36-45",credit[[#This Row],[Age]]&lt;=60,"46-60",TRUE,"60+")</f>
        <v>36-45</v>
      </c>
      <c r="C731" t="s">
        <v>9</v>
      </c>
      <c r="D731">
        <v>2</v>
      </c>
      <c r="E731" t="s">
        <v>10</v>
      </c>
      <c r="F731" t="s">
        <v>22</v>
      </c>
      <c r="G731" t="s">
        <v>22</v>
      </c>
      <c r="H731">
        <v>1275</v>
      </c>
      <c r="I731">
        <v>24</v>
      </c>
      <c r="J731" t="s">
        <v>23</v>
      </c>
      <c r="K731" t="str">
        <f>IF(AND(credit[[#This Row],[Credit amount]]&gt;9000,credit[[#This Row],[Saving accounts]]="little"),"High","Low")</f>
        <v>Low</v>
      </c>
    </row>
    <row r="732" spans="1:11" x14ac:dyDescent="0.25">
      <c r="A732">
        <v>33</v>
      </c>
      <c r="B732" s="13" t="str" cm="1">
        <f t="array" ref="B732">_xlfn.IFS(credit[[#This Row],[Age]]&lt;=25,"18-25",credit[[#This Row],[Age]]&lt;=35,"26-35",credit[[#This Row],[Age]]&lt;=45,"36-45",credit[[#This Row],[Age]]&lt;=60,"46-60",TRUE,"60+")</f>
        <v>26-35</v>
      </c>
      <c r="C732" t="s">
        <v>9</v>
      </c>
      <c r="D732">
        <v>2</v>
      </c>
      <c r="E732" t="s">
        <v>10</v>
      </c>
      <c r="F732" t="s">
        <v>12</v>
      </c>
      <c r="G732" t="s">
        <v>15</v>
      </c>
      <c r="H732">
        <v>6403</v>
      </c>
      <c r="I732">
        <v>24</v>
      </c>
      <c r="J732" t="s">
        <v>13</v>
      </c>
      <c r="K732" t="str">
        <f>IF(AND(credit[[#This Row],[Credit amount]]&gt;9000,credit[[#This Row],[Saving accounts]]="little"),"High","Low")</f>
        <v>Low</v>
      </c>
    </row>
    <row r="733" spans="1:11" x14ac:dyDescent="0.25">
      <c r="A733">
        <v>21</v>
      </c>
      <c r="B733" s="13" t="str" cm="1">
        <f t="array" ref="B733">_xlfn.IFS(credit[[#This Row],[Age]]&lt;=25,"18-25",credit[[#This Row],[Age]]&lt;=35,"26-35",credit[[#This Row],[Age]]&lt;=45,"36-45",credit[[#This Row],[Age]]&lt;=60,"46-60",TRUE,"60+")</f>
        <v>18-25</v>
      </c>
      <c r="C733" t="s">
        <v>9</v>
      </c>
      <c r="D733">
        <v>1</v>
      </c>
      <c r="E733" t="s">
        <v>21</v>
      </c>
      <c r="F733" t="s">
        <v>12</v>
      </c>
      <c r="G733" t="s">
        <v>12</v>
      </c>
      <c r="H733">
        <v>1987</v>
      </c>
      <c r="I733">
        <v>24</v>
      </c>
      <c r="J733" t="s">
        <v>13</v>
      </c>
      <c r="K733" t="str">
        <f>IF(AND(credit[[#This Row],[Credit amount]]&gt;9000,credit[[#This Row],[Saving accounts]]="little"),"High","Low")</f>
        <v>Low</v>
      </c>
    </row>
    <row r="734" spans="1:11" x14ac:dyDescent="0.25">
      <c r="A734">
        <v>44</v>
      </c>
      <c r="B734" s="13" t="str" cm="1">
        <f t="array" ref="B734">_xlfn.IFS(credit[[#This Row],[Age]]&lt;=25,"18-25",credit[[#This Row],[Age]]&lt;=35,"26-35",credit[[#This Row],[Age]]&lt;=45,"36-45",credit[[#This Row],[Age]]&lt;=60,"46-60",TRUE,"60+")</f>
        <v>36-45</v>
      </c>
      <c r="C734" t="s">
        <v>14</v>
      </c>
      <c r="D734">
        <v>1</v>
      </c>
      <c r="E734" t="s">
        <v>10</v>
      </c>
      <c r="F734" t="s">
        <v>12</v>
      </c>
      <c r="G734" t="s">
        <v>15</v>
      </c>
      <c r="H734">
        <v>760</v>
      </c>
      <c r="I734">
        <v>8</v>
      </c>
      <c r="J734" t="s">
        <v>13</v>
      </c>
      <c r="K734" t="str">
        <f>IF(AND(credit[[#This Row],[Credit amount]]&gt;9000,credit[[#This Row],[Saving accounts]]="little"),"High","Low")</f>
        <v>Low</v>
      </c>
    </row>
    <row r="735" spans="1:11" x14ac:dyDescent="0.25">
      <c r="A735">
        <v>28</v>
      </c>
      <c r="B735" s="13" t="str" cm="1">
        <f t="array" ref="B735">_xlfn.IFS(credit[[#This Row],[Age]]&lt;=25,"18-25",credit[[#This Row],[Age]]&lt;=35,"26-35",credit[[#This Row],[Age]]&lt;=45,"36-45",credit[[#This Row],[Age]]&lt;=60,"46-60",TRUE,"60+")</f>
        <v>26-35</v>
      </c>
      <c r="C735" t="s">
        <v>14</v>
      </c>
      <c r="D735">
        <v>2</v>
      </c>
      <c r="E735" t="s">
        <v>21</v>
      </c>
      <c r="F735" t="s">
        <v>22</v>
      </c>
      <c r="G735" t="s">
        <v>11</v>
      </c>
      <c r="H735">
        <v>2603</v>
      </c>
      <c r="I735">
        <v>24</v>
      </c>
      <c r="J735" t="s">
        <v>19</v>
      </c>
      <c r="K735" t="str">
        <f>IF(AND(credit[[#This Row],[Credit amount]]&gt;9000,credit[[#This Row],[Saving accounts]]="little"),"High","Low")</f>
        <v>Low</v>
      </c>
    </row>
    <row r="736" spans="1:11" x14ac:dyDescent="0.25">
      <c r="A736">
        <v>37</v>
      </c>
      <c r="B736" s="13" t="str" cm="1">
        <f t="array" ref="B736">_xlfn.IFS(credit[[#This Row],[Age]]&lt;=25,"18-25",credit[[#This Row],[Age]]&lt;=35,"26-35",credit[[#This Row],[Age]]&lt;=45,"36-45",credit[[#This Row],[Age]]&lt;=60,"46-60",TRUE,"60+")</f>
        <v>36-45</v>
      </c>
      <c r="C736" t="s">
        <v>14</v>
      </c>
      <c r="D736">
        <v>2</v>
      </c>
      <c r="E736" t="s">
        <v>10</v>
      </c>
      <c r="F736" t="s">
        <v>12</v>
      </c>
      <c r="G736" t="s">
        <v>11</v>
      </c>
      <c r="H736">
        <v>3380</v>
      </c>
      <c r="I736">
        <v>4</v>
      </c>
      <c r="J736" t="s">
        <v>19</v>
      </c>
      <c r="K736" t="str">
        <f>IF(AND(credit[[#This Row],[Credit amount]]&gt;9000,credit[[#This Row],[Saving accounts]]="little"),"High","Low")</f>
        <v>Low</v>
      </c>
    </row>
    <row r="737" spans="1:11" x14ac:dyDescent="0.25">
      <c r="A737">
        <v>29</v>
      </c>
      <c r="B737" s="13" t="str" cm="1">
        <f t="array" ref="B737">_xlfn.IFS(credit[[#This Row],[Age]]&lt;=25,"18-25",credit[[#This Row],[Age]]&lt;=35,"26-35",credit[[#This Row],[Age]]&lt;=45,"36-45",credit[[#This Row],[Age]]&lt;=60,"46-60",TRUE,"60+")</f>
        <v>26-35</v>
      </c>
      <c r="C737" t="s">
        <v>14</v>
      </c>
      <c r="D737">
        <v>0</v>
      </c>
      <c r="E737" t="s">
        <v>10</v>
      </c>
      <c r="F737" t="s">
        <v>11</v>
      </c>
      <c r="G737" t="s">
        <v>15</v>
      </c>
      <c r="H737">
        <v>3990</v>
      </c>
      <c r="I737">
        <v>36</v>
      </c>
      <c r="J737" t="s">
        <v>24</v>
      </c>
      <c r="K737" t="str">
        <f>IF(AND(credit[[#This Row],[Credit amount]]&gt;9000,credit[[#This Row],[Saving accounts]]="little"),"High","Low")</f>
        <v>Low</v>
      </c>
    </row>
    <row r="738" spans="1:11" x14ac:dyDescent="0.25">
      <c r="A738">
        <v>23</v>
      </c>
      <c r="B738" s="13" t="str" cm="1">
        <f t="array" ref="B738">_xlfn.IFS(credit[[#This Row],[Age]]&lt;=25,"18-25",credit[[#This Row],[Age]]&lt;=35,"26-35",credit[[#This Row],[Age]]&lt;=45,"36-45",credit[[#This Row],[Age]]&lt;=60,"46-60",TRUE,"60+")</f>
        <v>18-25</v>
      </c>
      <c r="C738" t="s">
        <v>14</v>
      </c>
      <c r="D738">
        <v>3</v>
      </c>
      <c r="E738" t="s">
        <v>21</v>
      </c>
      <c r="F738" t="s">
        <v>12</v>
      </c>
      <c r="G738" t="s">
        <v>15</v>
      </c>
      <c r="H738">
        <v>11560</v>
      </c>
      <c r="I738">
        <v>24</v>
      </c>
      <c r="J738" t="s">
        <v>19</v>
      </c>
      <c r="K738" t="str">
        <f>IF(AND(credit[[#This Row],[Credit amount]]&gt;9000,credit[[#This Row],[Saving accounts]]="little"),"High","Low")</f>
        <v>High</v>
      </c>
    </row>
    <row r="739" spans="1:11" x14ac:dyDescent="0.25">
      <c r="A739">
        <v>35</v>
      </c>
      <c r="B739" s="13" t="str" cm="1">
        <f t="array" ref="B739">_xlfn.IFS(credit[[#This Row],[Age]]&lt;=25,"18-25",credit[[#This Row],[Age]]&lt;=35,"26-35",credit[[#This Row],[Age]]&lt;=45,"36-45",credit[[#This Row],[Age]]&lt;=60,"46-60",TRUE,"60+")</f>
        <v>26-35</v>
      </c>
      <c r="C739" t="s">
        <v>9</v>
      </c>
      <c r="D739">
        <v>1</v>
      </c>
      <c r="E739" t="s">
        <v>10</v>
      </c>
      <c r="F739" t="s">
        <v>15</v>
      </c>
      <c r="G739" t="s">
        <v>12</v>
      </c>
      <c r="H739">
        <v>4380</v>
      </c>
      <c r="I739">
        <v>18</v>
      </c>
      <c r="J739" t="s">
        <v>19</v>
      </c>
      <c r="K739" t="str">
        <f>IF(AND(credit[[#This Row],[Credit amount]]&gt;9000,credit[[#This Row],[Saving accounts]]="little"),"High","Low")</f>
        <v>Low</v>
      </c>
    </row>
    <row r="740" spans="1:11" x14ac:dyDescent="0.25">
      <c r="A740">
        <v>45</v>
      </c>
      <c r="B740" s="13" t="str" cm="1">
        <f t="array" ref="B740">_xlfn.IFS(credit[[#This Row],[Age]]&lt;=25,"18-25",credit[[#This Row],[Age]]&lt;=35,"26-35",credit[[#This Row],[Age]]&lt;=45,"36-45",credit[[#This Row],[Age]]&lt;=60,"46-60",TRUE,"60+")</f>
        <v>36-45</v>
      </c>
      <c r="C740" t="s">
        <v>9</v>
      </c>
      <c r="D740">
        <v>3</v>
      </c>
      <c r="E740" t="s">
        <v>10</v>
      </c>
      <c r="F740" t="s">
        <v>12</v>
      </c>
      <c r="G740" t="s">
        <v>11</v>
      </c>
      <c r="H740">
        <v>6761</v>
      </c>
      <c r="I740">
        <v>6</v>
      </c>
      <c r="J740" t="s">
        <v>19</v>
      </c>
      <c r="K740" t="str">
        <f>IF(AND(credit[[#This Row],[Credit amount]]&gt;9000,credit[[#This Row],[Saving accounts]]="little"),"High","Low")</f>
        <v>Low</v>
      </c>
    </row>
    <row r="741" spans="1:11" x14ac:dyDescent="0.25">
      <c r="A741">
        <v>26</v>
      </c>
      <c r="B741" s="13" t="str" cm="1">
        <f t="array" ref="B741">_xlfn.IFS(credit[[#This Row],[Age]]&lt;=25,"18-25",credit[[#This Row],[Age]]&lt;=35,"26-35",credit[[#This Row],[Age]]&lt;=45,"36-45",credit[[#This Row],[Age]]&lt;=60,"46-60",TRUE,"60+")</f>
        <v>26-35</v>
      </c>
      <c r="C741" t="s">
        <v>14</v>
      </c>
      <c r="D741">
        <v>1</v>
      </c>
      <c r="E741" t="s">
        <v>21</v>
      </c>
      <c r="F741" t="s">
        <v>15</v>
      </c>
      <c r="G741" t="s">
        <v>15</v>
      </c>
      <c r="H741">
        <v>4280</v>
      </c>
      <c r="I741">
        <v>30</v>
      </c>
      <c r="J741" t="s">
        <v>23</v>
      </c>
      <c r="K741" t="str">
        <f>IF(AND(credit[[#This Row],[Credit amount]]&gt;9000,credit[[#This Row],[Saving accounts]]="little"),"High","Low")</f>
        <v>Low</v>
      </c>
    </row>
    <row r="742" spans="1:11" x14ac:dyDescent="0.25">
      <c r="A742">
        <v>32</v>
      </c>
      <c r="B742" s="13" t="str" cm="1">
        <f t="array" ref="B742">_xlfn.IFS(credit[[#This Row],[Age]]&lt;=25,"18-25",credit[[#This Row],[Age]]&lt;=35,"26-35",credit[[#This Row],[Age]]&lt;=45,"36-45",credit[[#This Row],[Age]]&lt;=60,"46-60",TRUE,"60+")</f>
        <v>26-35</v>
      </c>
      <c r="C742" t="s">
        <v>9</v>
      </c>
      <c r="D742">
        <v>2</v>
      </c>
      <c r="E742" t="s">
        <v>10</v>
      </c>
      <c r="F742" t="s">
        <v>15</v>
      </c>
      <c r="G742" t="s">
        <v>12</v>
      </c>
      <c r="H742">
        <v>2325</v>
      </c>
      <c r="I742">
        <v>24</v>
      </c>
      <c r="J742" t="s">
        <v>19</v>
      </c>
      <c r="K742" t="str">
        <f>IF(AND(credit[[#This Row],[Credit amount]]&gt;9000,credit[[#This Row],[Saving accounts]]="little"),"High","Low")</f>
        <v>Low</v>
      </c>
    </row>
    <row r="743" spans="1:11" x14ac:dyDescent="0.25">
      <c r="A743">
        <v>23</v>
      </c>
      <c r="B743" s="13" t="str" cm="1">
        <f t="array" ref="B743">_xlfn.IFS(credit[[#This Row],[Age]]&lt;=25,"18-25",credit[[#This Row],[Age]]&lt;=35,"26-35",credit[[#This Row],[Age]]&lt;=45,"36-45",credit[[#This Row],[Age]]&lt;=60,"46-60",TRUE,"60+")</f>
        <v>18-25</v>
      </c>
      <c r="C743" t="s">
        <v>9</v>
      </c>
      <c r="D743">
        <v>1</v>
      </c>
      <c r="E743" t="s">
        <v>10</v>
      </c>
      <c r="F743" t="s">
        <v>12</v>
      </c>
      <c r="G743" t="s">
        <v>15</v>
      </c>
      <c r="H743">
        <v>1048</v>
      </c>
      <c r="I743">
        <v>10</v>
      </c>
      <c r="J743" t="s">
        <v>13</v>
      </c>
      <c r="K743" t="str">
        <f>IF(AND(credit[[#This Row],[Credit amount]]&gt;9000,credit[[#This Row],[Saving accounts]]="little"),"High","Low")</f>
        <v>Low</v>
      </c>
    </row>
    <row r="744" spans="1:11" x14ac:dyDescent="0.25">
      <c r="A744">
        <v>41</v>
      </c>
      <c r="B744" s="13" t="str" cm="1">
        <f t="array" ref="B744">_xlfn.IFS(credit[[#This Row],[Age]]&lt;=25,"18-25",credit[[#This Row],[Age]]&lt;=35,"26-35",credit[[#This Row],[Age]]&lt;=45,"36-45",credit[[#This Row],[Age]]&lt;=60,"46-60",TRUE,"60+")</f>
        <v>36-45</v>
      </c>
      <c r="C744" t="s">
        <v>9</v>
      </c>
      <c r="D744">
        <v>2</v>
      </c>
      <c r="E744" t="s">
        <v>10</v>
      </c>
      <c r="F744" t="s">
        <v>11</v>
      </c>
      <c r="G744" t="s">
        <v>11</v>
      </c>
      <c r="H744">
        <v>3160</v>
      </c>
      <c r="I744">
        <v>21</v>
      </c>
      <c r="J744" t="s">
        <v>13</v>
      </c>
      <c r="K744" t="str">
        <f>IF(AND(credit[[#This Row],[Credit amount]]&gt;9000,credit[[#This Row],[Saving accounts]]="little"),"High","Low")</f>
        <v>Low</v>
      </c>
    </row>
    <row r="745" spans="1:11" x14ac:dyDescent="0.25">
      <c r="A745">
        <v>22</v>
      </c>
      <c r="B745" s="13" t="str" cm="1">
        <f t="array" ref="B745">_xlfn.IFS(credit[[#This Row],[Age]]&lt;=25,"18-25",credit[[#This Row],[Age]]&lt;=35,"26-35",credit[[#This Row],[Age]]&lt;=45,"36-45",credit[[#This Row],[Age]]&lt;=60,"46-60",TRUE,"60+")</f>
        <v>18-25</v>
      </c>
      <c r="C745" t="s">
        <v>9</v>
      </c>
      <c r="D745">
        <v>2</v>
      </c>
      <c r="E745" t="s">
        <v>10</v>
      </c>
      <c r="F745" t="s">
        <v>20</v>
      </c>
      <c r="G745" t="s">
        <v>12</v>
      </c>
      <c r="H745">
        <v>2483</v>
      </c>
      <c r="I745">
        <v>24</v>
      </c>
      <c r="J745" t="s">
        <v>18</v>
      </c>
      <c r="K745" t="str">
        <f>IF(AND(credit[[#This Row],[Credit amount]]&gt;9000,credit[[#This Row],[Saving accounts]]="little"),"High","Low")</f>
        <v>Low</v>
      </c>
    </row>
    <row r="746" spans="1:11" x14ac:dyDescent="0.25">
      <c r="A746">
        <v>30</v>
      </c>
      <c r="B746" s="13" t="str" cm="1">
        <f t="array" ref="B746">_xlfn.IFS(credit[[#This Row],[Age]]&lt;=25,"18-25",credit[[#This Row],[Age]]&lt;=35,"26-35",credit[[#This Row],[Age]]&lt;=45,"36-45",credit[[#This Row],[Age]]&lt;=60,"46-60",TRUE,"60+")</f>
        <v>26-35</v>
      </c>
      <c r="C746" t="s">
        <v>9</v>
      </c>
      <c r="D746">
        <v>3</v>
      </c>
      <c r="E746" t="s">
        <v>10</v>
      </c>
      <c r="F746" t="s">
        <v>11</v>
      </c>
      <c r="G746" t="s">
        <v>12</v>
      </c>
      <c r="H746">
        <v>14179</v>
      </c>
      <c r="I746">
        <v>39</v>
      </c>
      <c r="J746" t="s">
        <v>18</v>
      </c>
      <c r="K746" t="str">
        <f>IF(AND(credit[[#This Row],[Credit amount]]&gt;9000,credit[[#This Row],[Saving accounts]]="little"),"High","Low")</f>
        <v>Low</v>
      </c>
    </row>
    <row r="747" spans="1:11" x14ac:dyDescent="0.25">
      <c r="A747">
        <v>28</v>
      </c>
      <c r="B747" s="13" t="str" cm="1">
        <f t="array" ref="B747">_xlfn.IFS(credit[[#This Row],[Age]]&lt;=25,"18-25",credit[[#This Row],[Age]]&lt;=35,"26-35",credit[[#This Row],[Age]]&lt;=45,"36-45",credit[[#This Row],[Age]]&lt;=60,"46-60",TRUE,"60+")</f>
        <v>26-35</v>
      </c>
      <c r="C747" t="s">
        <v>9</v>
      </c>
      <c r="D747">
        <v>1</v>
      </c>
      <c r="E747" t="s">
        <v>10</v>
      </c>
      <c r="F747" t="s">
        <v>12</v>
      </c>
      <c r="G747" t="s">
        <v>12</v>
      </c>
      <c r="H747">
        <v>1797</v>
      </c>
      <c r="I747">
        <v>13</v>
      </c>
      <c r="J747" t="s">
        <v>23</v>
      </c>
      <c r="K747" t="str">
        <f>IF(AND(credit[[#This Row],[Credit amount]]&gt;9000,credit[[#This Row],[Saving accounts]]="little"),"High","Low")</f>
        <v>Low</v>
      </c>
    </row>
    <row r="748" spans="1:11" x14ac:dyDescent="0.25">
      <c r="A748">
        <v>23</v>
      </c>
      <c r="B748" s="13" t="str" cm="1">
        <f t="array" ref="B748">_xlfn.IFS(credit[[#This Row],[Age]]&lt;=25,"18-25",credit[[#This Row],[Age]]&lt;=35,"26-35",credit[[#This Row],[Age]]&lt;=45,"36-45",credit[[#This Row],[Age]]&lt;=60,"46-60",TRUE,"60+")</f>
        <v>18-25</v>
      </c>
      <c r="C748" t="s">
        <v>14</v>
      </c>
      <c r="D748">
        <v>2</v>
      </c>
      <c r="E748" t="s">
        <v>21</v>
      </c>
      <c r="F748" t="s">
        <v>12</v>
      </c>
      <c r="G748" t="s">
        <v>12</v>
      </c>
      <c r="H748">
        <v>2511</v>
      </c>
      <c r="I748">
        <v>15</v>
      </c>
      <c r="J748" t="s">
        <v>19</v>
      </c>
      <c r="K748" t="str">
        <f>IF(AND(credit[[#This Row],[Credit amount]]&gt;9000,credit[[#This Row],[Saving accounts]]="little"),"High","Low")</f>
        <v>Low</v>
      </c>
    </row>
    <row r="749" spans="1:11" x14ac:dyDescent="0.25">
      <c r="A749">
        <v>37</v>
      </c>
      <c r="B749" s="13" t="str" cm="1">
        <f t="array" ref="B749">_xlfn.IFS(credit[[#This Row],[Age]]&lt;=25,"18-25",credit[[#This Row],[Age]]&lt;=35,"26-35",credit[[#This Row],[Age]]&lt;=45,"36-45",credit[[#This Row],[Age]]&lt;=60,"46-60",TRUE,"60+")</f>
        <v>36-45</v>
      </c>
      <c r="C749" t="s">
        <v>14</v>
      </c>
      <c r="D749">
        <v>1</v>
      </c>
      <c r="E749" t="s">
        <v>10</v>
      </c>
      <c r="F749" t="s">
        <v>12</v>
      </c>
      <c r="G749" t="s">
        <v>12</v>
      </c>
      <c r="H749">
        <v>1274</v>
      </c>
      <c r="I749">
        <v>12</v>
      </c>
      <c r="J749" t="s">
        <v>19</v>
      </c>
      <c r="K749" t="str">
        <f>IF(AND(credit[[#This Row],[Credit amount]]&gt;9000,credit[[#This Row],[Saving accounts]]="little"),"High","Low")</f>
        <v>Low</v>
      </c>
    </row>
    <row r="750" spans="1:11" x14ac:dyDescent="0.25">
      <c r="A750">
        <v>26</v>
      </c>
      <c r="B750" s="13" t="str" cm="1">
        <f t="array" ref="B750">_xlfn.IFS(credit[[#This Row],[Age]]&lt;=25,"18-25",credit[[#This Row],[Age]]&lt;=35,"26-35",credit[[#This Row],[Age]]&lt;=45,"36-45",credit[[#This Row],[Age]]&lt;=60,"46-60",TRUE,"60+")</f>
        <v>26-35</v>
      </c>
      <c r="C750" t="s">
        <v>9</v>
      </c>
      <c r="D750">
        <v>2</v>
      </c>
      <c r="E750" t="s">
        <v>10</v>
      </c>
      <c r="F750" t="s">
        <v>11</v>
      </c>
      <c r="G750" t="s">
        <v>11</v>
      </c>
      <c r="H750">
        <v>5248</v>
      </c>
      <c r="I750">
        <v>21</v>
      </c>
      <c r="J750" t="s">
        <v>19</v>
      </c>
      <c r="K750" t="str">
        <f>IF(AND(credit[[#This Row],[Credit amount]]&gt;9000,credit[[#This Row],[Saving accounts]]="little"),"High","Low")</f>
        <v>Low</v>
      </c>
    </row>
    <row r="751" spans="1:11" x14ac:dyDescent="0.25">
      <c r="A751">
        <v>33</v>
      </c>
      <c r="B751" s="13" t="str" cm="1">
        <f t="array" ref="B751">_xlfn.IFS(credit[[#This Row],[Age]]&lt;=25,"18-25",credit[[#This Row],[Age]]&lt;=35,"26-35",credit[[#This Row],[Age]]&lt;=45,"36-45",credit[[#This Row],[Age]]&lt;=60,"46-60",TRUE,"60+")</f>
        <v>26-35</v>
      </c>
      <c r="C751" t="s">
        <v>9</v>
      </c>
      <c r="D751">
        <v>2</v>
      </c>
      <c r="E751" t="s">
        <v>10</v>
      </c>
      <c r="F751" t="s">
        <v>12</v>
      </c>
      <c r="G751" t="s">
        <v>11</v>
      </c>
      <c r="H751">
        <v>3029</v>
      </c>
      <c r="I751">
        <v>15</v>
      </c>
      <c r="J751" t="s">
        <v>19</v>
      </c>
      <c r="K751" t="str">
        <f>IF(AND(credit[[#This Row],[Credit amount]]&gt;9000,credit[[#This Row],[Saving accounts]]="little"),"High","Low")</f>
        <v>Low</v>
      </c>
    </row>
    <row r="752" spans="1:11" x14ac:dyDescent="0.25">
      <c r="A752">
        <v>49</v>
      </c>
      <c r="B752" s="13" t="str" cm="1">
        <f t="array" ref="B752">_xlfn.IFS(credit[[#This Row],[Age]]&lt;=25,"18-25",credit[[#This Row],[Age]]&lt;=35,"26-35",credit[[#This Row],[Age]]&lt;=45,"36-45",credit[[#This Row],[Age]]&lt;=60,"46-60",TRUE,"60+")</f>
        <v>46-60</v>
      </c>
      <c r="C752" t="s">
        <v>14</v>
      </c>
      <c r="D752">
        <v>2</v>
      </c>
      <c r="E752" t="s">
        <v>10</v>
      </c>
      <c r="F752" t="s">
        <v>12</v>
      </c>
      <c r="G752" t="s">
        <v>12</v>
      </c>
      <c r="H752">
        <v>428</v>
      </c>
      <c r="I752">
        <v>6</v>
      </c>
      <c r="J752" t="s">
        <v>18</v>
      </c>
      <c r="K752" t="str">
        <f>IF(AND(credit[[#This Row],[Credit amount]]&gt;9000,credit[[#This Row],[Saving accounts]]="little"),"High","Low")</f>
        <v>Low</v>
      </c>
    </row>
    <row r="753" spans="1:11" x14ac:dyDescent="0.25">
      <c r="A753">
        <v>23</v>
      </c>
      <c r="B753" s="13" t="str" cm="1">
        <f t="array" ref="B753">_xlfn.IFS(credit[[#This Row],[Age]]&lt;=25,"18-25",credit[[#This Row],[Age]]&lt;=35,"26-35",credit[[#This Row],[Age]]&lt;=45,"36-45",credit[[#This Row],[Age]]&lt;=60,"46-60",TRUE,"60+")</f>
        <v>18-25</v>
      </c>
      <c r="C753" t="s">
        <v>14</v>
      </c>
      <c r="D753">
        <v>1</v>
      </c>
      <c r="E753" t="s">
        <v>10</v>
      </c>
      <c r="F753" t="s">
        <v>12</v>
      </c>
      <c r="G753" t="s">
        <v>12</v>
      </c>
      <c r="H753">
        <v>976</v>
      </c>
      <c r="I753">
        <v>18</v>
      </c>
      <c r="J753" t="s">
        <v>19</v>
      </c>
      <c r="K753" t="str">
        <f>IF(AND(credit[[#This Row],[Credit amount]]&gt;9000,credit[[#This Row],[Saving accounts]]="little"),"High","Low")</f>
        <v>Low</v>
      </c>
    </row>
    <row r="754" spans="1:11" x14ac:dyDescent="0.25">
      <c r="A754">
        <v>23</v>
      </c>
      <c r="B754" s="13" t="str" cm="1">
        <f t="array" ref="B754">_xlfn.IFS(credit[[#This Row],[Age]]&lt;=25,"18-25",credit[[#This Row],[Age]]&lt;=35,"26-35",credit[[#This Row],[Age]]&lt;=45,"36-45",credit[[#This Row],[Age]]&lt;=60,"46-60",TRUE,"60+")</f>
        <v>18-25</v>
      </c>
      <c r="C754" t="s">
        <v>14</v>
      </c>
      <c r="D754">
        <v>1</v>
      </c>
      <c r="E754" t="s">
        <v>21</v>
      </c>
      <c r="F754" t="s">
        <v>15</v>
      </c>
      <c r="G754" t="s">
        <v>15</v>
      </c>
      <c r="H754">
        <v>841</v>
      </c>
      <c r="I754">
        <v>12</v>
      </c>
      <c r="J754" t="s">
        <v>23</v>
      </c>
      <c r="K754" t="str">
        <f>IF(AND(credit[[#This Row],[Credit amount]]&gt;9000,credit[[#This Row],[Saving accounts]]="little"),"High","Low")</f>
        <v>Low</v>
      </c>
    </row>
    <row r="755" spans="1:11" x14ac:dyDescent="0.25">
      <c r="A755">
        <v>25</v>
      </c>
      <c r="B755" s="13" t="str" cm="1">
        <f t="array" ref="B755">_xlfn.IFS(credit[[#This Row],[Age]]&lt;=25,"18-25",credit[[#This Row],[Age]]&lt;=35,"26-35",credit[[#This Row],[Age]]&lt;=45,"36-45",credit[[#This Row],[Age]]&lt;=60,"46-60",TRUE,"60+")</f>
        <v>18-25</v>
      </c>
      <c r="C755" t="s">
        <v>14</v>
      </c>
      <c r="D755">
        <v>2</v>
      </c>
      <c r="E755" t="s">
        <v>10</v>
      </c>
      <c r="F755" t="s">
        <v>12</v>
      </c>
      <c r="G755" t="s">
        <v>11</v>
      </c>
      <c r="H755">
        <v>5771</v>
      </c>
      <c r="I755">
        <v>30</v>
      </c>
      <c r="J755" t="s">
        <v>13</v>
      </c>
      <c r="K755" t="str">
        <f>IF(AND(credit[[#This Row],[Credit amount]]&gt;9000,credit[[#This Row],[Saving accounts]]="little"),"High","Low")</f>
        <v>Low</v>
      </c>
    </row>
    <row r="756" spans="1:11" x14ac:dyDescent="0.25">
      <c r="A756">
        <v>55</v>
      </c>
      <c r="B756" s="13" t="str" cm="1">
        <f t="array" ref="B756">_xlfn.IFS(credit[[#This Row],[Age]]&lt;=25,"18-25",credit[[#This Row],[Age]]&lt;=35,"26-35",credit[[#This Row],[Age]]&lt;=45,"36-45",credit[[#This Row],[Age]]&lt;=60,"46-60",TRUE,"60+")</f>
        <v>46-60</v>
      </c>
      <c r="C756" t="s">
        <v>9</v>
      </c>
      <c r="D756">
        <v>2</v>
      </c>
      <c r="E756" t="s">
        <v>17</v>
      </c>
      <c r="F756" t="s">
        <v>22</v>
      </c>
      <c r="G756" t="s">
        <v>11</v>
      </c>
      <c r="H756">
        <v>1555</v>
      </c>
      <c r="I756">
        <v>12</v>
      </c>
      <c r="J756" t="s">
        <v>25</v>
      </c>
      <c r="K756" t="str">
        <f>IF(AND(credit[[#This Row],[Credit amount]]&gt;9000,credit[[#This Row],[Saving accounts]]="little"),"High","Low")</f>
        <v>Low</v>
      </c>
    </row>
    <row r="757" spans="1:11" x14ac:dyDescent="0.25">
      <c r="A757">
        <v>32</v>
      </c>
      <c r="B757" s="13" t="str" cm="1">
        <f t="array" ref="B757">_xlfn.IFS(credit[[#This Row],[Age]]&lt;=25,"18-25",credit[[#This Row],[Age]]&lt;=35,"26-35",credit[[#This Row],[Age]]&lt;=45,"36-45",credit[[#This Row],[Age]]&lt;=60,"46-60",TRUE,"60+")</f>
        <v>26-35</v>
      </c>
      <c r="C757" t="s">
        <v>14</v>
      </c>
      <c r="D757">
        <v>2</v>
      </c>
      <c r="E757" t="s">
        <v>21</v>
      </c>
      <c r="F757" t="s">
        <v>11</v>
      </c>
      <c r="G757" t="s">
        <v>12</v>
      </c>
      <c r="H757">
        <v>1285</v>
      </c>
      <c r="I757">
        <v>24</v>
      </c>
      <c r="J757" t="s">
        <v>19</v>
      </c>
      <c r="K757" t="str">
        <f>IF(AND(credit[[#This Row],[Credit amount]]&gt;9000,credit[[#This Row],[Saving accounts]]="little"),"High","Low")</f>
        <v>Low</v>
      </c>
    </row>
    <row r="758" spans="1:11" x14ac:dyDescent="0.25">
      <c r="A758">
        <v>74</v>
      </c>
      <c r="B758" s="13" t="str" cm="1">
        <f t="array" ref="B758">_xlfn.IFS(credit[[#This Row],[Age]]&lt;=25,"18-25",credit[[#This Row],[Age]]&lt;=35,"26-35",credit[[#This Row],[Age]]&lt;=45,"36-45",credit[[#This Row],[Age]]&lt;=60,"46-60",TRUE,"60+")</f>
        <v>60+</v>
      </c>
      <c r="C758" t="s">
        <v>9</v>
      </c>
      <c r="D758">
        <v>0</v>
      </c>
      <c r="E758" t="s">
        <v>10</v>
      </c>
      <c r="F758" t="s">
        <v>12</v>
      </c>
      <c r="G758" t="s">
        <v>22</v>
      </c>
      <c r="H758">
        <v>1299</v>
      </c>
      <c r="I758">
        <v>6</v>
      </c>
      <c r="J758" t="s">
        <v>19</v>
      </c>
      <c r="K758" t="str">
        <f>IF(AND(credit[[#This Row],[Credit amount]]&gt;9000,credit[[#This Row],[Saving accounts]]="little"),"High","Low")</f>
        <v>Low</v>
      </c>
    </row>
    <row r="759" spans="1:11" x14ac:dyDescent="0.25">
      <c r="A759">
        <v>39</v>
      </c>
      <c r="B759" s="13" t="str" cm="1">
        <f t="array" ref="B759">_xlfn.IFS(credit[[#This Row],[Age]]&lt;=25,"18-25",credit[[#This Row],[Age]]&lt;=35,"26-35",credit[[#This Row],[Age]]&lt;=45,"36-45",credit[[#This Row],[Age]]&lt;=60,"46-60",TRUE,"60+")</f>
        <v>36-45</v>
      </c>
      <c r="C759" t="s">
        <v>9</v>
      </c>
      <c r="D759">
        <v>2</v>
      </c>
      <c r="E759" t="s">
        <v>17</v>
      </c>
      <c r="F759" t="s">
        <v>11</v>
      </c>
      <c r="G759" t="s">
        <v>22</v>
      </c>
      <c r="H759">
        <v>1271</v>
      </c>
      <c r="I759">
        <v>15</v>
      </c>
      <c r="J759" t="s">
        <v>13</v>
      </c>
      <c r="K759" t="str">
        <f>IF(AND(credit[[#This Row],[Credit amount]]&gt;9000,credit[[#This Row],[Saving accounts]]="little"),"High","Low")</f>
        <v>Low</v>
      </c>
    </row>
    <row r="760" spans="1:11" x14ac:dyDescent="0.25">
      <c r="A760">
        <v>31</v>
      </c>
      <c r="B760" s="13" t="str" cm="1">
        <f t="array" ref="B760">_xlfn.IFS(credit[[#This Row],[Age]]&lt;=25,"18-25",credit[[#This Row],[Age]]&lt;=35,"26-35",credit[[#This Row],[Age]]&lt;=45,"36-45",credit[[#This Row],[Age]]&lt;=60,"46-60",TRUE,"60+")</f>
        <v>26-35</v>
      </c>
      <c r="C760" t="s">
        <v>9</v>
      </c>
      <c r="D760">
        <v>2</v>
      </c>
      <c r="E760" t="s">
        <v>10</v>
      </c>
      <c r="F760" t="s">
        <v>12</v>
      </c>
      <c r="G760" t="s">
        <v>11</v>
      </c>
      <c r="H760">
        <v>1393</v>
      </c>
      <c r="I760">
        <v>24</v>
      </c>
      <c r="J760" t="s">
        <v>19</v>
      </c>
      <c r="K760" t="str">
        <f>IF(AND(credit[[#This Row],[Credit amount]]&gt;9000,credit[[#This Row],[Saving accounts]]="little"),"High","Low")</f>
        <v>Low</v>
      </c>
    </row>
    <row r="761" spans="1:11" x14ac:dyDescent="0.25">
      <c r="A761">
        <v>35</v>
      </c>
      <c r="B761" s="13" t="str" cm="1">
        <f t="array" ref="B761">_xlfn.IFS(credit[[#This Row],[Age]]&lt;=25,"18-25",credit[[#This Row],[Age]]&lt;=35,"26-35",credit[[#This Row],[Age]]&lt;=45,"36-45",credit[[#This Row],[Age]]&lt;=60,"46-60",TRUE,"60+")</f>
        <v>26-35</v>
      </c>
      <c r="C761" t="s">
        <v>9</v>
      </c>
      <c r="D761">
        <v>2</v>
      </c>
      <c r="E761" t="s">
        <v>10</v>
      </c>
      <c r="F761" t="s">
        <v>12</v>
      </c>
      <c r="G761" t="s">
        <v>12</v>
      </c>
      <c r="H761">
        <v>691</v>
      </c>
      <c r="I761">
        <v>12</v>
      </c>
      <c r="J761" t="s">
        <v>19</v>
      </c>
      <c r="K761" t="str">
        <f>IF(AND(credit[[#This Row],[Credit amount]]&gt;9000,credit[[#This Row],[Saving accounts]]="little"),"High","Low")</f>
        <v>Low</v>
      </c>
    </row>
    <row r="762" spans="1:11" x14ac:dyDescent="0.25">
      <c r="A762">
        <v>59</v>
      </c>
      <c r="B762" s="13" t="str" cm="1">
        <f t="array" ref="B762">_xlfn.IFS(credit[[#This Row],[Age]]&lt;=25,"18-25",credit[[#This Row],[Age]]&lt;=35,"26-35",credit[[#This Row],[Age]]&lt;=45,"36-45",credit[[#This Row],[Age]]&lt;=60,"46-60",TRUE,"60+")</f>
        <v>46-60</v>
      </c>
      <c r="C762" t="s">
        <v>14</v>
      </c>
      <c r="D762">
        <v>2</v>
      </c>
      <c r="E762" t="s">
        <v>10</v>
      </c>
      <c r="F762" t="s">
        <v>11</v>
      </c>
      <c r="G762" t="s">
        <v>11</v>
      </c>
      <c r="H762">
        <v>5045</v>
      </c>
      <c r="I762">
        <v>15</v>
      </c>
      <c r="J762" t="s">
        <v>19</v>
      </c>
      <c r="K762" t="str">
        <f>IF(AND(credit[[#This Row],[Credit amount]]&gt;9000,credit[[#This Row],[Saving accounts]]="little"),"High","Low")</f>
        <v>Low</v>
      </c>
    </row>
    <row r="763" spans="1:11" x14ac:dyDescent="0.25">
      <c r="A763">
        <v>24</v>
      </c>
      <c r="B763" s="13" t="str" cm="1">
        <f t="array" ref="B763">_xlfn.IFS(credit[[#This Row],[Age]]&lt;=25,"18-25",credit[[#This Row],[Age]]&lt;=35,"26-35",credit[[#This Row],[Age]]&lt;=45,"36-45",credit[[#This Row],[Age]]&lt;=60,"46-60",TRUE,"60+")</f>
        <v>18-25</v>
      </c>
      <c r="C763" t="s">
        <v>14</v>
      </c>
      <c r="D763">
        <v>2</v>
      </c>
      <c r="E763" t="s">
        <v>21</v>
      </c>
      <c r="F763" t="s">
        <v>12</v>
      </c>
      <c r="G763" t="s">
        <v>12</v>
      </c>
      <c r="H763">
        <v>2124</v>
      </c>
      <c r="I763">
        <v>18</v>
      </c>
      <c r="J763" t="s">
        <v>18</v>
      </c>
      <c r="K763" t="str">
        <f>IF(AND(credit[[#This Row],[Credit amount]]&gt;9000,credit[[#This Row],[Saving accounts]]="little"),"High","Low")</f>
        <v>Low</v>
      </c>
    </row>
    <row r="764" spans="1:11" x14ac:dyDescent="0.25">
      <c r="A764">
        <v>24</v>
      </c>
      <c r="B764" s="13" t="str" cm="1">
        <f t="array" ref="B764">_xlfn.IFS(credit[[#This Row],[Age]]&lt;=25,"18-25",credit[[#This Row],[Age]]&lt;=35,"26-35",credit[[#This Row],[Age]]&lt;=45,"36-45",credit[[#This Row],[Age]]&lt;=60,"46-60",TRUE,"60+")</f>
        <v>18-25</v>
      </c>
      <c r="C764" t="s">
        <v>9</v>
      </c>
      <c r="D764">
        <v>1</v>
      </c>
      <c r="E764" t="s">
        <v>10</v>
      </c>
      <c r="F764" t="s">
        <v>12</v>
      </c>
      <c r="G764" t="s">
        <v>12</v>
      </c>
      <c r="H764">
        <v>2214</v>
      </c>
      <c r="I764">
        <v>12</v>
      </c>
      <c r="J764" t="s">
        <v>13</v>
      </c>
      <c r="K764" t="str">
        <f>IF(AND(credit[[#This Row],[Credit amount]]&gt;9000,credit[[#This Row],[Saving accounts]]="little"),"High","Low")</f>
        <v>Low</v>
      </c>
    </row>
    <row r="765" spans="1:11" x14ac:dyDescent="0.25">
      <c r="A765">
        <v>30</v>
      </c>
      <c r="B765" s="13" t="str" cm="1">
        <f t="array" ref="B765">_xlfn.IFS(credit[[#This Row],[Age]]&lt;=25,"18-25",credit[[#This Row],[Age]]&lt;=35,"26-35",credit[[#This Row],[Age]]&lt;=45,"36-45",credit[[#This Row],[Age]]&lt;=60,"46-60",TRUE,"60+")</f>
        <v>26-35</v>
      </c>
      <c r="C765" t="s">
        <v>9</v>
      </c>
      <c r="D765">
        <v>3</v>
      </c>
      <c r="E765" t="s">
        <v>17</v>
      </c>
      <c r="F765" t="s">
        <v>11</v>
      </c>
      <c r="G765" t="s">
        <v>11</v>
      </c>
      <c r="H765">
        <v>12680</v>
      </c>
      <c r="I765">
        <v>21</v>
      </c>
      <c r="J765" t="s">
        <v>19</v>
      </c>
      <c r="K765" t="str">
        <f>IF(AND(credit[[#This Row],[Credit amount]]&gt;9000,credit[[#This Row],[Saving accounts]]="little"),"High","Low")</f>
        <v>Low</v>
      </c>
    </row>
    <row r="766" spans="1:11" x14ac:dyDescent="0.25">
      <c r="A766">
        <v>27</v>
      </c>
      <c r="B766" s="13" t="str" cm="1">
        <f t="array" ref="B766">_xlfn.IFS(credit[[#This Row],[Age]]&lt;=25,"18-25",credit[[#This Row],[Age]]&lt;=35,"26-35",credit[[#This Row],[Age]]&lt;=45,"36-45",credit[[#This Row],[Age]]&lt;=60,"46-60",TRUE,"60+")</f>
        <v>26-35</v>
      </c>
      <c r="C766" t="s">
        <v>9</v>
      </c>
      <c r="D766">
        <v>2</v>
      </c>
      <c r="E766" t="s">
        <v>10</v>
      </c>
      <c r="F766" t="s">
        <v>15</v>
      </c>
      <c r="G766" t="s">
        <v>11</v>
      </c>
      <c r="H766">
        <v>2463</v>
      </c>
      <c r="I766">
        <v>24</v>
      </c>
      <c r="J766" t="s">
        <v>19</v>
      </c>
      <c r="K766" t="str">
        <f>IF(AND(credit[[#This Row],[Credit amount]]&gt;9000,credit[[#This Row],[Saving accounts]]="little"),"High","Low")</f>
        <v>Low</v>
      </c>
    </row>
    <row r="767" spans="1:11" x14ac:dyDescent="0.25">
      <c r="A767">
        <v>40</v>
      </c>
      <c r="B767" s="13" t="str" cm="1">
        <f t="array" ref="B767">_xlfn.IFS(credit[[#This Row],[Age]]&lt;=25,"18-25",credit[[#This Row],[Age]]&lt;=35,"26-35",credit[[#This Row],[Age]]&lt;=45,"36-45",credit[[#This Row],[Age]]&lt;=60,"46-60",TRUE,"60+")</f>
        <v>36-45</v>
      </c>
      <c r="C767" t="s">
        <v>9</v>
      </c>
      <c r="D767">
        <v>1</v>
      </c>
      <c r="E767" t="s">
        <v>10</v>
      </c>
      <c r="F767" t="s">
        <v>12</v>
      </c>
      <c r="G767" t="s">
        <v>15</v>
      </c>
      <c r="H767">
        <v>1155</v>
      </c>
      <c r="I767">
        <v>12</v>
      </c>
      <c r="J767" t="s">
        <v>13</v>
      </c>
      <c r="K767" t="str">
        <f>IF(AND(credit[[#This Row],[Credit amount]]&gt;9000,credit[[#This Row],[Saving accounts]]="little"),"High","Low")</f>
        <v>Low</v>
      </c>
    </row>
    <row r="768" spans="1:11" x14ac:dyDescent="0.25">
      <c r="A768">
        <v>31</v>
      </c>
      <c r="B768" s="13" t="str" cm="1">
        <f t="array" ref="B768">_xlfn.IFS(credit[[#This Row],[Age]]&lt;=25,"18-25",credit[[#This Row],[Age]]&lt;=35,"26-35",credit[[#This Row],[Age]]&lt;=45,"36-45",credit[[#This Row],[Age]]&lt;=60,"46-60",TRUE,"60+")</f>
        <v>26-35</v>
      </c>
      <c r="C768" t="s">
        <v>9</v>
      </c>
      <c r="D768">
        <v>1</v>
      </c>
      <c r="E768" t="s">
        <v>10</v>
      </c>
      <c r="F768" t="s">
        <v>12</v>
      </c>
      <c r="G768" t="s">
        <v>12</v>
      </c>
      <c r="H768">
        <v>3108</v>
      </c>
      <c r="I768">
        <v>30</v>
      </c>
      <c r="J768" t="s">
        <v>18</v>
      </c>
      <c r="K768" t="str">
        <f>IF(AND(credit[[#This Row],[Credit amount]]&gt;9000,credit[[#This Row],[Saving accounts]]="little"),"High","Low")</f>
        <v>Low</v>
      </c>
    </row>
    <row r="769" spans="1:11" x14ac:dyDescent="0.25">
      <c r="A769">
        <v>31</v>
      </c>
      <c r="B769" s="13" t="str" cm="1">
        <f t="array" ref="B769">_xlfn.IFS(credit[[#This Row],[Age]]&lt;=25,"18-25",credit[[#This Row],[Age]]&lt;=35,"26-35",credit[[#This Row],[Age]]&lt;=45,"36-45",credit[[#This Row],[Age]]&lt;=60,"46-60",TRUE,"60+")</f>
        <v>26-35</v>
      </c>
      <c r="C769" t="s">
        <v>14</v>
      </c>
      <c r="D769">
        <v>2</v>
      </c>
      <c r="E769" t="s">
        <v>21</v>
      </c>
      <c r="F769" t="s">
        <v>11</v>
      </c>
      <c r="G769" t="s">
        <v>11</v>
      </c>
      <c r="H769">
        <v>2901</v>
      </c>
      <c r="I769">
        <v>10</v>
      </c>
      <c r="J769" t="s">
        <v>19</v>
      </c>
      <c r="K769" t="str">
        <f>IF(AND(credit[[#This Row],[Credit amount]]&gt;9000,credit[[#This Row],[Saving accounts]]="little"),"High","Low")</f>
        <v>Low</v>
      </c>
    </row>
    <row r="770" spans="1:11" x14ac:dyDescent="0.25">
      <c r="A770">
        <v>28</v>
      </c>
      <c r="B770" s="13" t="str" cm="1">
        <f t="array" ref="B770">_xlfn.IFS(credit[[#This Row],[Age]]&lt;=25,"18-25",credit[[#This Row],[Age]]&lt;=35,"26-35",credit[[#This Row],[Age]]&lt;=45,"36-45",credit[[#This Row],[Age]]&lt;=60,"46-60",TRUE,"60+")</f>
        <v>26-35</v>
      </c>
      <c r="C770" t="s">
        <v>9</v>
      </c>
      <c r="D770">
        <v>2</v>
      </c>
      <c r="E770" t="s">
        <v>21</v>
      </c>
      <c r="F770" t="s">
        <v>12</v>
      </c>
      <c r="G770" t="s">
        <v>15</v>
      </c>
      <c r="H770">
        <v>3617</v>
      </c>
      <c r="I770">
        <v>12</v>
      </c>
      <c r="J770" t="s">
        <v>18</v>
      </c>
      <c r="K770" t="str">
        <f>IF(AND(credit[[#This Row],[Credit amount]]&gt;9000,credit[[#This Row],[Saving accounts]]="little"),"High","Low")</f>
        <v>Low</v>
      </c>
    </row>
    <row r="771" spans="1:11" x14ac:dyDescent="0.25">
      <c r="A771">
        <v>63</v>
      </c>
      <c r="B771" s="13" t="str" cm="1">
        <f t="array" ref="B771">_xlfn.IFS(credit[[#This Row],[Age]]&lt;=25,"18-25",credit[[#This Row],[Age]]&lt;=35,"26-35",credit[[#This Row],[Age]]&lt;=45,"36-45",credit[[#This Row],[Age]]&lt;=60,"46-60",TRUE,"60+")</f>
        <v>60+</v>
      </c>
      <c r="C771" t="s">
        <v>9</v>
      </c>
      <c r="D771">
        <v>1</v>
      </c>
      <c r="E771" t="s">
        <v>10</v>
      </c>
      <c r="F771" t="s">
        <v>12</v>
      </c>
      <c r="G771" t="s">
        <v>11</v>
      </c>
      <c r="H771">
        <v>1655</v>
      </c>
      <c r="I771">
        <v>12</v>
      </c>
      <c r="J771" t="s">
        <v>13</v>
      </c>
      <c r="K771" t="str">
        <f>IF(AND(credit[[#This Row],[Credit amount]]&gt;9000,credit[[#This Row],[Saving accounts]]="little"),"High","Low")</f>
        <v>Low</v>
      </c>
    </row>
    <row r="772" spans="1:11" x14ac:dyDescent="0.25">
      <c r="A772">
        <v>26</v>
      </c>
      <c r="B772" s="13" t="str" cm="1">
        <f t="array" ref="B772">_xlfn.IFS(credit[[#This Row],[Age]]&lt;=25,"18-25",credit[[#This Row],[Age]]&lt;=35,"26-35",credit[[#This Row],[Age]]&lt;=45,"36-45",credit[[#This Row],[Age]]&lt;=60,"46-60",TRUE,"60+")</f>
        <v>26-35</v>
      </c>
      <c r="C772" t="s">
        <v>14</v>
      </c>
      <c r="D772">
        <v>2</v>
      </c>
      <c r="E772" t="s">
        <v>21</v>
      </c>
      <c r="F772" t="s">
        <v>11</v>
      </c>
      <c r="G772" t="s">
        <v>12</v>
      </c>
      <c r="H772">
        <v>2812</v>
      </c>
      <c r="I772">
        <v>24</v>
      </c>
      <c r="J772" t="s">
        <v>19</v>
      </c>
      <c r="K772" t="str">
        <f>IF(AND(credit[[#This Row],[Credit amount]]&gt;9000,credit[[#This Row],[Saving accounts]]="little"),"High","Low")</f>
        <v>Low</v>
      </c>
    </row>
    <row r="773" spans="1:11" x14ac:dyDescent="0.25">
      <c r="A773">
        <v>25</v>
      </c>
      <c r="B773" s="13" t="str" cm="1">
        <f t="array" ref="B773">_xlfn.IFS(credit[[#This Row],[Age]]&lt;=25,"18-25",credit[[#This Row],[Age]]&lt;=35,"26-35",credit[[#This Row],[Age]]&lt;=45,"36-45",credit[[#This Row],[Age]]&lt;=60,"46-60",TRUE,"60+")</f>
        <v>18-25</v>
      </c>
      <c r="C773" t="s">
        <v>14</v>
      </c>
      <c r="D773">
        <v>3</v>
      </c>
      <c r="E773" t="s">
        <v>10</v>
      </c>
      <c r="F773" t="s">
        <v>12</v>
      </c>
      <c r="G773" t="s">
        <v>12</v>
      </c>
      <c r="H773">
        <v>8065</v>
      </c>
      <c r="I773">
        <v>36</v>
      </c>
      <c r="J773" t="s">
        <v>16</v>
      </c>
      <c r="K773" t="str">
        <f>IF(AND(credit[[#This Row],[Credit amount]]&gt;9000,credit[[#This Row],[Saving accounts]]="little"),"High","Low")</f>
        <v>Low</v>
      </c>
    </row>
    <row r="774" spans="1:11" x14ac:dyDescent="0.25">
      <c r="A774">
        <v>36</v>
      </c>
      <c r="B774" s="13" t="str" cm="1">
        <f t="array" ref="B774">_xlfn.IFS(credit[[#This Row],[Age]]&lt;=25,"18-25",credit[[#This Row],[Age]]&lt;=35,"26-35",credit[[#This Row],[Age]]&lt;=45,"36-45",credit[[#This Row],[Age]]&lt;=60,"46-60",TRUE,"60+")</f>
        <v>36-45</v>
      </c>
      <c r="C774" t="s">
        <v>9</v>
      </c>
      <c r="D774">
        <v>3</v>
      </c>
      <c r="E774" t="s">
        <v>10</v>
      </c>
      <c r="F774" t="s">
        <v>12</v>
      </c>
      <c r="G774" t="s">
        <v>11</v>
      </c>
      <c r="H774">
        <v>3275</v>
      </c>
      <c r="I774">
        <v>21</v>
      </c>
      <c r="J774" t="s">
        <v>19</v>
      </c>
      <c r="K774" t="str">
        <f>IF(AND(credit[[#This Row],[Credit amount]]&gt;9000,credit[[#This Row],[Saving accounts]]="little"),"High","Low")</f>
        <v>Low</v>
      </c>
    </row>
    <row r="775" spans="1:11" x14ac:dyDescent="0.25">
      <c r="A775">
        <v>52</v>
      </c>
      <c r="B775" s="13" t="str" cm="1">
        <f t="array" ref="B775">_xlfn.IFS(credit[[#This Row],[Age]]&lt;=25,"18-25",credit[[#This Row],[Age]]&lt;=35,"26-35",credit[[#This Row],[Age]]&lt;=45,"36-45",credit[[#This Row],[Age]]&lt;=60,"46-60",TRUE,"60+")</f>
        <v>46-60</v>
      </c>
      <c r="C775" t="s">
        <v>9</v>
      </c>
      <c r="D775">
        <v>2</v>
      </c>
      <c r="E775" t="s">
        <v>10</v>
      </c>
      <c r="F775" t="s">
        <v>15</v>
      </c>
      <c r="G775" t="s">
        <v>11</v>
      </c>
      <c r="H775">
        <v>2223</v>
      </c>
      <c r="I775">
        <v>24</v>
      </c>
      <c r="J775" t="s">
        <v>13</v>
      </c>
      <c r="K775" t="str">
        <f>IF(AND(credit[[#This Row],[Credit amount]]&gt;9000,credit[[#This Row],[Saving accounts]]="little"),"High","Low")</f>
        <v>Low</v>
      </c>
    </row>
    <row r="776" spans="1:11" x14ac:dyDescent="0.25">
      <c r="A776">
        <v>66</v>
      </c>
      <c r="B776" s="13" t="str" cm="1">
        <f t="array" ref="B776">_xlfn.IFS(credit[[#This Row],[Age]]&lt;=25,"18-25",credit[[#This Row],[Age]]&lt;=35,"26-35",credit[[#This Row],[Age]]&lt;=45,"36-45",credit[[#This Row],[Age]]&lt;=60,"46-60",TRUE,"60+")</f>
        <v>60+</v>
      </c>
      <c r="C776" t="s">
        <v>9</v>
      </c>
      <c r="D776">
        <v>0</v>
      </c>
      <c r="E776" t="s">
        <v>17</v>
      </c>
      <c r="F776" t="s">
        <v>20</v>
      </c>
      <c r="G776" t="s">
        <v>22</v>
      </c>
      <c r="H776">
        <v>1480</v>
      </c>
      <c r="I776">
        <v>12</v>
      </c>
      <c r="J776" t="s">
        <v>19</v>
      </c>
      <c r="K776" t="str">
        <f>IF(AND(credit[[#This Row],[Credit amount]]&gt;9000,credit[[#This Row],[Saving accounts]]="little"),"High","Low")</f>
        <v>Low</v>
      </c>
    </row>
    <row r="777" spans="1:11" x14ac:dyDescent="0.25">
      <c r="A777">
        <v>25</v>
      </c>
      <c r="B777" s="13" t="str" cm="1">
        <f t="array" ref="B777">_xlfn.IFS(credit[[#This Row],[Age]]&lt;=25,"18-25",credit[[#This Row],[Age]]&lt;=35,"26-35",credit[[#This Row],[Age]]&lt;=45,"36-45",credit[[#This Row],[Age]]&lt;=60,"46-60",TRUE,"60+")</f>
        <v>18-25</v>
      </c>
      <c r="C777" t="s">
        <v>14</v>
      </c>
      <c r="D777">
        <v>2</v>
      </c>
      <c r="E777" t="s">
        <v>21</v>
      </c>
      <c r="F777" t="s">
        <v>11</v>
      </c>
      <c r="G777" t="s">
        <v>12</v>
      </c>
      <c r="H777">
        <v>1371</v>
      </c>
      <c r="I777">
        <v>24</v>
      </c>
      <c r="J777" t="s">
        <v>19</v>
      </c>
      <c r="K777" t="str">
        <f>IF(AND(credit[[#This Row],[Credit amount]]&gt;9000,credit[[#This Row],[Saving accounts]]="little"),"High","Low")</f>
        <v>Low</v>
      </c>
    </row>
    <row r="778" spans="1:11" x14ac:dyDescent="0.25">
      <c r="A778">
        <v>37</v>
      </c>
      <c r="B778" s="13" t="str" cm="1">
        <f t="array" ref="B778">_xlfn.IFS(credit[[#This Row],[Age]]&lt;=25,"18-25",credit[[#This Row],[Age]]&lt;=35,"26-35",credit[[#This Row],[Age]]&lt;=45,"36-45",credit[[#This Row],[Age]]&lt;=60,"46-60",TRUE,"60+")</f>
        <v>36-45</v>
      </c>
      <c r="C778" t="s">
        <v>9</v>
      </c>
      <c r="D778">
        <v>2</v>
      </c>
      <c r="E778" t="s">
        <v>10</v>
      </c>
      <c r="F778" t="s">
        <v>12</v>
      </c>
      <c r="G778" t="s">
        <v>11</v>
      </c>
      <c r="H778">
        <v>3535</v>
      </c>
      <c r="I778">
        <v>36</v>
      </c>
      <c r="J778" t="s">
        <v>19</v>
      </c>
      <c r="K778" t="str">
        <f>IF(AND(credit[[#This Row],[Credit amount]]&gt;9000,credit[[#This Row],[Saving accounts]]="little"),"High","Low")</f>
        <v>Low</v>
      </c>
    </row>
    <row r="779" spans="1:11" x14ac:dyDescent="0.25">
      <c r="A779">
        <v>25</v>
      </c>
      <c r="B779" s="13" t="str" cm="1">
        <f t="array" ref="B779">_xlfn.IFS(credit[[#This Row],[Age]]&lt;=25,"18-25",credit[[#This Row],[Age]]&lt;=35,"26-35",credit[[#This Row],[Age]]&lt;=45,"36-45",credit[[#This Row],[Age]]&lt;=60,"46-60",TRUE,"60+")</f>
        <v>18-25</v>
      </c>
      <c r="C779" t="s">
        <v>14</v>
      </c>
      <c r="D779">
        <v>2</v>
      </c>
      <c r="E779" t="s">
        <v>10</v>
      </c>
      <c r="F779" t="s">
        <v>12</v>
      </c>
      <c r="G779" t="s">
        <v>12</v>
      </c>
      <c r="H779">
        <v>3509</v>
      </c>
      <c r="I779">
        <v>18</v>
      </c>
      <c r="J779" t="s">
        <v>13</v>
      </c>
      <c r="K779" t="str">
        <f>IF(AND(credit[[#This Row],[Credit amount]]&gt;9000,credit[[#This Row],[Saving accounts]]="little"),"High","Low")</f>
        <v>Low</v>
      </c>
    </row>
    <row r="780" spans="1:11" x14ac:dyDescent="0.25">
      <c r="A780">
        <v>38</v>
      </c>
      <c r="B780" s="13" t="str" cm="1">
        <f t="array" ref="B780">_xlfn.IFS(credit[[#This Row],[Age]]&lt;=25,"18-25",credit[[#This Row],[Age]]&lt;=35,"26-35",credit[[#This Row],[Age]]&lt;=45,"36-45",credit[[#This Row],[Age]]&lt;=60,"46-60",TRUE,"60+")</f>
        <v>36-45</v>
      </c>
      <c r="C780" t="s">
        <v>9</v>
      </c>
      <c r="D780">
        <v>3</v>
      </c>
      <c r="E780" t="s">
        <v>10</v>
      </c>
      <c r="F780" t="s">
        <v>22</v>
      </c>
      <c r="G780" t="s">
        <v>11</v>
      </c>
      <c r="H780">
        <v>5711</v>
      </c>
      <c r="I780">
        <v>36</v>
      </c>
      <c r="J780" t="s">
        <v>19</v>
      </c>
      <c r="K780" t="str">
        <f>IF(AND(credit[[#This Row],[Credit amount]]&gt;9000,credit[[#This Row],[Saving accounts]]="little"),"High","Low")</f>
        <v>Low</v>
      </c>
    </row>
    <row r="781" spans="1:11" x14ac:dyDescent="0.25">
      <c r="A781">
        <v>67</v>
      </c>
      <c r="B781" s="13" t="str" cm="1">
        <f t="array" ref="B781">_xlfn.IFS(credit[[#This Row],[Age]]&lt;=25,"18-25",credit[[#This Row],[Age]]&lt;=35,"26-35",credit[[#This Row],[Age]]&lt;=45,"36-45",credit[[#This Row],[Age]]&lt;=60,"46-60",TRUE,"60+")</f>
        <v>60+</v>
      </c>
      <c r="C781" t="s">
        <v>14</v>
      </c>
      <c r="D781">
        <v>2</v>
      </c>
      <c r="E781" t="s">
        <v>10</v>
      </c>
      <c r="F781" t="s">
        <v>12</v>
      </c>
      <c r="G781" t="s">
        <v>15</v>
      </c>
      <c r="H781">
        <v>3872</v>
      </c>
      <c r="I781">
        <v>18</v>
      </c>
      <c r="J781" t="s">
        <v>25</v>
      </c>
      <c r="K781" t="str">
        <f>IF(AND(credit[[#This Row],[Credit amount]]&gt;9000,credit[[#This Row],[Saving accounts]]="little"),"High","Low")</f>
        <v>Low</v>
      </c>
    </row>
    <row r="782" spans="1:11" x14ac:dyDescent="0.25">
      <c r="A782">
        <v>25</v>
      </c>
      <c r="B782" s="13" t="str" cm="1">
        <f t="array" ref="B782">_xlfn.IFS(credit[[#This Row],[Age]]&lt;=25,"18-25",credit[[#This Row],[Age]]&lt;=35,"26-35",credit[[#This Row],[Age]]&lt;=45,"36-45",credit[[#This Row],[Age]]&lt;=60,"46-60",TRUE,"60+")</f>
        <v>18-25</v>
      </c>
      <c r="C782" t="s">
        <v>9</v>
      </c>
      <c r="D782">
        <v>2</v>
      </c>
      <c r="E782" t="s">
        <v>10</v>
      </c>
      <c r="F782" t="s">
        <v>12</v>
      </c>
      <c r="G782" t="s">
        <v>15</v>
      </c>
      <c r="H782">
        <v>4933</v>
      </c>
      <c r="I782">
        <v>39</v>
      </c>
      <c r="J782" t="s">
        <v>13</v>
      </c>
      <c r="K782" t="str">
        <f>IF(AND(credit[[#This Row],[Credit amount]]&gt;9000,credit[[#This Row],[Saving accounts]]="little"),"High","Low")</f>
        <v>Low</v>
      </c>
    </row>
    <row r="783" spans="1:11" x14ac:dyDescent="0.25">
      <c r="A783">
        <v>60</v>
      </c>
      <c r="B783" s="13" t="str" cm="1">
        <f t="array" ref="B783">_xlfn.IFS(credit[[#This Row],[Age]]&lt;=25,"18-25",credit[[#This Row],[Age]]&lt;=35,"26-35",credit[[#This Row],[Age]]&lt;=45,"36-45",credit[[#This Row],[Age]]&lt;=60,"46-60",TRUE,"60+")</f>
        <v>46-60</v>
      </c>
      <c r="C783" t="s">
        <v>9</v>
      </c>
      <c r="D783">
        <v>2</v>
      </c>
      <c r="E783" t="s">
        <v>10</v>
      </c>
      <c r="F783" t="s">
        <v>22</v>
      </c>
      <c r="G783" t="s">
        <v>11</v>
      </c>
      <c r="H783">
        <v>1940</v>
      </c>
      <c r="I783">
        <v>24</v>
      </c>
      <c r="J783" t="s">
        <v>19</v>
      </c>
      <c r="K783" t="str">
        <f>IF(AND(credit[[#This Row],[Credit amount]]&gt;9000,credit[[#This Row],[Saving accounts]]="little"),"High","Low")</f>
        <v>Low</v>
      </c>
    </row>
    <row r="784" spans="1:11" x14ac:dyDescent="0.25">
      <c r="A784">
        <v>31</v>
      </c>
      <c r="B784" s="13" t="str" cm="1">
        <f t="array" ref="B784">_xlfn.IFS(credit[[#This Row],[Age]]&lt;=25,"18-25",credit[[#This Row],[Age]]&lt;=35,"26-35",credit[[#This Row],[Age]]&lt;=45,"36-45",credit[[#This Row],[Age]]&lt;=60,"46-60",TRUE,"60+")</f>
        <v>26-35</v>
      </c>
      <c r="C784" t="s">
        <v>9</v>
      </c>
      <c r="D784">
        <v>1</v>
      </c>
      <c r="E784" t="s">
        <v>10</v>
      </c>
      <c r="F784" t="s">
        <v>12</v>
      </c>
      <c r="G784" t="s">
        <v>15</v>
      </c>
      <c r="H784">
        <v>1410</v>
      </c>
      <c r="I784">
        <v>12</v>
      </c>
      <c r="J784" t="s">
        <v>16</v>
      </c>
      <c r="K784" t="str">
        <f>IF(AND(credit[[#This Row],[Credit amount]]&gt;9000,credit[[#This Row],[Saving accounts]]="little"),"High","Low")</f>
        <v>Low</v>
      </c>
    </row>
    <row r="785" spans="1:11" x14ac:dyDescent="0.25">
      <c r="A785">
        <v>23</v>
      </c>
      <c r="B785" s="13" t="str" cm="1">
        <f t="array" ref="B785">_xlfn.IFS(credit[[#This Row],[Age]]&lt;=25,"18-25",credit[[#This Row],[Age]]&lt;=35,"26-35",credit[[#This Row],[Age]]&lt;=45,"36-45",credit[[#This Row],[Age]]&lt;=60,"46-60",TRUE,"60+")</f>
        <v>18-25</v>
      </c>
      <c r="C785" t="s">
        <v>14</v>
      </c>
      <c r="D785">
        <v>1</v>
      </c>
      <c r="E785" t="s">
        <v>10</v>
      </c>
      <c r="F785" t="s">
        <v>15</v>
      </c>
      <c r="G785" t="s">
        <v>15</v>
      </c>
      <c r="H785">
        <v>836</v>
      </c>
      <c r="I785">
        <v>12</v>
      </c>
      <c r="J785" t="s">
        <v>19</v>
      </c>
      <c r="K785" t="str">
        <f>IF(AND(credit[[#This Row],[Credit amount]]&gt;9000,credit[[#This Row],[Saving accounts]]="little"),"High","Low")</f>
        <v>Low</v>
      </c>
    </row>
    <row r="786" spans="1:11" x14ac:dyDescent="0.25">
      <c r="A786">
        <v>60</v>
      </c>
      <c r="B786" s="13" t="str" cm="1">
        <f t="array" ref="B786">_xlfn.IFS(credit[[#This Row],[Age]]&lt;=25,"18-25",credit[[#This Row],[Age]]&lt;=35,"26-35",credit[[#This Row],[Age]]&lt;=45,"36-45",credit[[#This Row],[Age]]&lt;=60,"46-60",TRUE,"60+")</f>
        <v>46-60</v>
      </c>
      <c r="C786" t="s">
        <v>9</v>
      </c>
      <c r="D786">
        <v>3</v>
      </c>
      <c r="E786" t="s">
        <v>10</v>
      </c>
      <c r="F786" t="s">
        <v>11</v>
      </c>
      <c r="G786" t="s">
        <v>15</v>
      </c>
      <c r="H786">
        <v>6468</v>
      </c>
      <c r="I786">
        <v>20</v>
      </c>
      <c r="J786" t="s">
        <v>19</v>
      </c>
      <c r="K786" t="str">
        <f>IF(AND(credit[[#This Row],[Credit amount]]&gt;9000,credit[[#This Row],[Saving accounts]]="little"),"High","Low")</f>
        <v>Low</v>
      </c>
    </row>
    <row r="787" spans="1:11" x14ac:dyDescent="0.25">
      <c r="A787">
        <v>35</v>
      </c>
      <c r="B787" s="13" t="str" cm="1">
        <f t="array" ref="B787">_xlfn.IFS(credit[[#This Row],[Age]]&lt;=25,"18-25",credit[[#This Row],[Age]]&lt;=35,"26-35",credit[[#This Row],[Age]]&lt;=45,"36-45",credit[[#This Row],[Age]]&lt;=60,"46-60",TRUE,"60+")</f>
        <v>26-35</v>
      </c>
      <c r="C787" t="s">
        <v>9</v>
      </c>
      <c r="D787">
        <v>1</v>
      </c>
      <c r="E787" t="s">
        <v>10</v>
      </c>
      <c r="F787" t="s">
        <v>22</v>
      </c>
      <c r="G787" t="s">
        <v>15</v>
      </c>
      <c r="H787">
        <v>1941</v>
      </c>
      <c r="I787">
        <v>18</v>
      </c>
      <c r="J787" t="s">
        <v>23</v>
      </c>
      <c r="K787" t="str">
        <f>IF(AND(credit[[#This Row],[Credit amount]]&gt;9000,credit[[#This Row],[Saving accounts]]="little"),"High","Low")</f>
        <v>Low</v>
      </c>
    </row>
    <row r="788" spans="1:11" x14ac:dyDescent="0.25">
      <c r="A788">
        <v>40</v>
      </c>
      <c r="B788" s="13" t="str" cm="1">
        <f t="array" ref="B788">_xlfn.IFS(credit[[#This Row],[Age]]&lt;=25,"18-25",credit[[#This Row],[Age]]&lt;=35,"26-35",credit[[#This Row],[Age]]&lt;=45,"36-45",credit[[#This Row],[Age]]&lt;=60,"46-60",TRUE,"60+")</f>
        <v>36-45</v>
      </c>
      <c r="C788" t="s">
        <v>9</v>
      </c>
      <c r="D788">
        <v>2</v>
      </c>
      <c r="E788" t="s">
        <v>10</v>
      </c>
      <c r="F788" t="s">
        <v>20</v>
      </c>
      <c r="G788" t="s">
        <v>11</v>
      </c>
      <c r="H788">
        <v>2675</v>
      </c>
      <c r="I788">
        <v>22</v>
      </c>
      <c r="J788" t="s">
        <v>13</v>
      </c>
      <c r="K788" t="str">
        <f>IF(AND(credit[[#This Row],[Credit amount]]&gt;9000,credit[[#This Row],[Saving accounts]]="little"),"High","Low")</f>
        <v>Low</v>
      </c>
    </row>
    <row r="789" spans="1:11" x14ac:dyDescent="0.25">
      <c r="A789">
        <v>38</v>
      </c>
      <c r="B789" s="13" t="str" cm="1">
        <f t="array" ref="B789">_xlfn.IFS(credit[[#This Row],[Age]]&lt;=25,"18-25",credit[[#This Row],[Age]]&lt;=35,"26-35",credit[[#This Row],[Age]]&lt;=45,"36-45",credit[[#This Row],[Age]]&lt;=60,"46-60",TRUE,"60+")</f>
        <v>36-45</v>
      </c>
      <c r="C789" t="s">
        <v>9</v>
      </c>
      <c r="D789">
        <v>2</v>
      </c>
      <c r="E789" t="s">
        <v>10</v>
      </c>
      <c r="F789" t="s">
        <v>11</v>
      </c>
      <c r="G789" t="s">
        <v>11</v>
      </c>
      <c r="H789">
        <v>2751</v>
      </c>
      <c r="I789">
        <v>48</v>
      </c>
      <c r="J789" t="s">
        <v>19</v>
      </c>
      <c r="K789" t="str">
        <f>IF(AND(credit[[#This Row],[Credit amount]]&gt;9000,credit[[#This Row],[Saving accounts]]="little"),"High","Low")</f>
        <v>Low</v>
      </c>
    </row>
    <row r="790" spans="1:11" x14ac:dyDescent="0.25">
      <c r="A790">
        <v>50</v>
      </c>
      <c r="B790" s="13" t="str" cm="1">
        <f t="array" ref="B790">_xlfn.IFS(credit[[#This Row],[Age]]&lt;=25,"18-25",credit[[#This Row],[Age]]&lt;=35,"26-35",credit[[#This Row],[Age]]&lt;=45,"36-45",credit[[#This Row],[Age]]&lt;=60,"46-60",TRUE,"60+")</f>
        <v>46-60</v>
      </c>
      <c r="C790" t="s">
        <v>9</v>
      </c>
      <c r="D790">
        <v>2</v>
      </c>
      <c r="E790" t="s">
        <v>17</v>
      </c>
      <c r="F790" t="s">
        <v>12</v>
      </c>
      <c r="G790" t="s">
        <v>15</v>
      </c>
      <c r="H790">
        <v>6224</v>
      </c>
      <c r="I790">
        <v>48</v>
      </c>
      <c r="J790" t="s">
        <v>16</v>
      </c>
      <c r="K790" t="str">
        <f>IF(AND(credit[[#This Row],[Credit amount]]&gt;9000,credit[[#This Row],[Saving accounts]]="little"),"High","Low")</f>
        <v>Low</v>
      </c>
    </row>
    <row r="791" spans="1:11" x14ac:dyDescent="0.25">
      <c r="A791">
        <v>27</v>
      </c>
      <c r="B791" s="13" t="str" cm="1">
        <f t="array" ref="B791">_xlfn.IFS(credit[[#This Row],[Age]]&lt;=25,"18-25",credit[[#This Row],[Age]]&lt;=35,"26-35",credit[[#This Row],[Age]]&lt;=45,"36-45",credit[[#This Row],[Age]]&lt;=60,"46-60",TRUE,"60+")</f>
        <v>26-35</v>
      </c>
      <c r="C791" t="s">
        <v>9</v>
      </c>
      <c r="D791">
        <v>2</v>
      </c>
      <c r="E791" t="s">
        <v>10</v>
      </c>
      <c r="F791" t="s">
        <v>12</v>
      </c>
      <c r="G791" t="s">
        <v>12</v>
      </c>
      <c r="H791">
        <v>5998</v>
      </c>
      <c r="I791">
        <v>40</v>
      </c>
      <c r="J791" t="s">
        <v>16</v>
      </c>
      <c r="K791" t="str">
        <f>IF(AND(credit[[#This Row],[Credit amount]]&gt;9000,credit[[#This Row],[Saving accounts]]="little"),"High","Low")</f>
        <v>Low</v>
      </c>
    </row>
    <row r="792" spans="1:11" x14ac:dyDescent="0.25">
      <c r="A792">
        <v>39</v>
      </c>
      <c r="B792" s="13" t="str" cm="1">
        <f t="array" ref="B792">_xlfn.IFS(credit[[#This Row],[Age]]&lt;=25,"18-25",credit[[#This Row],[Age]]&lt;=35,"26-35",credit[[#This Row],[Age]]&lt;=45,"36-45",credit[[#This Row],[Age]]&lt;=60,"46-60",TRUE,"60+")</f>
        <v>36-45</v>
      </c>
      <c r="C792" t="s">
        <v>14</v>
      </c>
      <c r="D792">
        <v>2</v>
      </c>
      <c r="E792" t="s">
        <v>10</v>
      </c>
      <c r="F792" t="s">
        <v>12</v>
      </c>
      <c r="G792" t="s">
        <v>15</v>
      </c>
      <c r="H792">
        <v>1188</v>
      </c>
      <c r="I792">
        <v>21</v>
      </c>
      <c r="J792" t="s">
        <v>23</v>
      </c>
      <c r="K792" t="str">
        <f>IF(AND(credit[[#This Row],[Credit amount]]&gt;9000,credit[[#This Row],[Saving accounts]]="little"),"High","Low")</f>
        <v>Low</v>
      </c>
    </row>
    <row r="793" spans="1:11" x14ac:dyDescent="0.25">
      <c r="A793">
        <v>41</v>
      </c>
      <c r="B793" s="13" t="str" cm="1">
        <f t="array" ref="B793">_xlfn.IFS(credit[[#This Row],[Age]]&lt;=25,"18-25",credit[[#This Row],[Age]]&lt;=35,"26-35",credit[[#This Row],[Age]]&lt;=45,"36-45",credit[[#This Row],[Age]]&lt;=60,"46-60",TRUE,"60+")</f>
        <v>36-45</v>
      </c>
      <c r="C793" t="s">
        <v>9</v>
      </c>
      <c r="D793">
        <v>3</v>
      </c>
      <c r="E793" t="s">
        <v>10</v>
      </c>
      <c r="F793" t="s">
        <v>11</v>
      </c>
      <c r="G793" t="s">
        <v>11</v>
      </c>
      <c r="H793">
        <v>6313</v>
      </c>
      <c r="I793">
        <v>24</v>
      </c>
      <c r="J793" t="s">
        <v>19</v>
      </c>
      <c r="K793" t="str">
        <f>IF(AND(credit[[#This Row],[Credit amount]]&gt;9000,credit[[#This Row],[Saving accounts]]="little"),"High","Low")</f>
        <v>Low</v>
      </c>
    </row>
    <row r="794" spans="1:11" x14ac:dyDescent="0.25">
      <c r="A794">
        <v>27</v>
      </c>
      <c r="B794" s="13" t="str" cm="1">
        <f t="array" ref="B794">_xlfn.IFS(credit[[#This Row],[Age]]&lt;=25,"18-25",credit[[#This Row],[Age]]&lt;=35,"26-35",credit[[#This Row],[Age]]&lt;=45,"36-45",credit[[#This Row],[Age]]&lt;=60,"46-60",TRUE,"60+")</f>
        <v>26-35</v>
      </c>
      <c r="C794" t="s">
        <v>9</v>
      </c>
      <c r="D794">
        <v>2</v>
      </c>
      <c r="E794" t="s">
        <v>10</v>
      </c>
      <c r="F794" t="s">
        <v>11</v>
      </c>
      <c r="G794" t="s">
        <v>11</v>
      </c>
      <c r="H794">
        <v>1221</v>
      </c>
      <c r="I794">
        <v>6</v>
      </c>
      <c r="J794" t="s">
        <v>18</v>
      </c>
      <c r="K794" t="str">
        <f>IF(AND(credit[[#This Row],[Credit amount]]&gt;9000,credit[[#This Row],[Saving accounts]]="little"),"High","Low")</f>
        <v>Low</v>
      </c>
    </row>
    <row r="795" spans="1:11" x14ac:dyDescent="0.25">
      <c r="A795">
        <v>51</v>
      </c>
      <c r="B795" s="13" t="str" cm="1">
        <f t="array" ref="B795">_xlfn.IFS(credit[[#This Row],[Age]]&lt;=25,"18-25",credit[[#This Row],[Age]]&lt;=35,"26-35",credit[[#This Row],[Age]]&lt;=45,"36-45",credit[[#This Row],[Age]]&lt;=60,"46-60",TRUE,"60+")</f>
        <v>46-60</v>
      </c>
      <c r="C795" t="s">
        <v>9</v>
      </c>
      <c r="D795">
        <v>2</v>
      </c>
      <c r="E795" t="s">
        <v>17</v>
      </c>
      <c r="F795" t="s">
        <v>12</v>
      </c>
      <c r="G795" t="s">
        <v>22</v>
      </c>
      <c r="H795">
        <v>2892</v>
      </c>
      <c r="I795">
        <v>24</v>
      </c>
      <c r="J795" t="s">
        <v>18</v>
      </c>
      <c r="K795" t="str">
        <f>IF(AND(credit[[#This Row],[Credit amount]]&gt;9000,credit[[#This Row],[Saving accounts]]="little"),"High","Low")</f>
        <v>Low</v>
      </c>
    </row>
    <row r="796" spans="1:11" x14ac:dyDescent="0.25">
      <c r="A796">
        <v>32</v>
      </c>
      <c r="B796" s="13" t="str" cm="1">
        <f t="array" ref="B796">_xlfn.IFS(credit[[#This Row],[Age]]&lt;=25,"18-25",credit[[#This Row],[Age]]&lt;=35,"26-35",credit[[#This Row],[Age]]&lt;=45,"36-45",credit[[#This Row],[Age]]&lt;=60,"46-60",TRUE,"60+")</f>
        <v>26-35</v>
      </c>
      <c r="C796" t="s">
        <v>9</v>
      </c>
      <c r="D796">
        <v>2</v>
      </c>
      <c r="E796" t="s">
        <v>21</v>
      </c>
      <c r="F796" t="s">
        <v>20</v>
      </c>
      <c r="G796" t="s">
        <v>11</v>
      </c>
      <c r="H796">
        <v>3062</v>
      </c>
      <c r="I796">
        <v>24</v>
      </c>
      <c r="J796" t="s">
        <v>18</v>
      </c>
      <c r="K796" t="str">
        <f>IF(AND(credit[[#This Row],[Credit amount]]&gt;9000,credit[[#This Row],[Saving accounts]]="little"),"High","Low")</f>
        <v>Low</v>
      </c>
    </row>
    <row r="797" spans="1:11" x14ac:dyDescent="0.25">
      <c r="A797">
        <v>22</v>
      </c>
      <c r="B797" s="13" t="str" cm="1">
        <f t="array" ref="B797">_xlfn.IFS(credit[[#This Row],[Age]]&lt;=25,"18-25",credit[[#This Row],[Age]]&lt;=35,"26-35",credit[[#This Row],[Age]]&lt;=45,"36-45",credit[[#This Row],[Age]]&lt;=60,"46-60",TRUE,"60+")</f>
        <v>18-25</v>
      </c>
      <c r="C797" t="s">
        <v>14</v>
      </c>
      <c r="D797">
        <v>2</v>
      </c>
      <c r="E797" t="s">
        <v>21</v>
      </c>
      <c r="F797" t="s">
        <v>15</v>
      </c>
      <c r="G797" t="s">
        <v>11</v>
      </c>
      <c r="H797">
        <v>2301</v>
      </c>
      <c r="I797">
        <v>9</v>
      </c>
      <c r="J797" t="s">
        <v>18</v>
      </c>
      <c r="K797" t="str">
        <f>IF(AND(credit[[#This Row],[Credit amount]]&gt;9000,credit[[#This Row],[Saving accounts]]="little"),"High","Low")</f>
        <v>Low</v>
      </c>
    </row>
    <row r="798" spans="1:11" x14ac:dyDescent="0.25">
      <c r="A798">
        <v>51</v>
      </c>
      <c r="B798" s="13" t="str" cm="1">
        <f t="array" ref="B798">_xlfn.IFS(credit[[#This Row],[Age]]&lt;=25,"18-25",credit[[#This Row],[Age]]&lt;=35,"26-35",credit[[#This Row],[Age]]&lt;=45,"36-45",credit[[#This Row],[Age]]&lt;=60,"46-60",TRUE,"60+")</f>
        <v>46-60</v>
      </c>
      <c r="C798" t="s">
        <v>9</v>
      </c>
      <c r="D798">
        <v>2</v>
      </c>
      <c r="E798" t="s">
        <v>17</v>
      </c>
      <c r="F798" t="s">
        <v>11</v>
      </c>
      <c r="G798" t="s">
        <v>12</v>
      </c>
      <c r="H798">
        <v>7511</v>
      </c>
      <c r="I798">
        <v>18</v>
      </c>
      <c r="J798" t="s">
        <v>19</v>
      </c>
      <c r="K798" t="str">
        <f>IF(AND(credit[[#This Row],[Credit amount]]&gt;9000,credit[[#This Row],[Saving accounts]]="little"),"High","Low")</f>
        <v>Low</v>
      </c>
    </row>
    <row r="799" spans="1:11" x14ac:dyDescent="0.25">
      <c r="A799">
        <v>22</v>
      </c>
      <c r="B799" s="13" t="str" cm="1">
        <f t="array" ref="B799">_xlfn.IFS(credit[[#This Row],[Age]]&lt;=25,"18-25",credit[[#This Row],[Age]]&lt;=35,"26-35",credit[[#This Row],[Age]]&lt;=45,"36-45",credit[[#This Row],[Age]]&lt;=60,"46-60",TRUE,"60+")</f>
        <v>18-25</v>
      </c>
      <c r="C799" t="s">
        <v>14</v>
      </c>
      <c r="D799">
        <v>1</v>
      </c>
      <c r="E799" t="s">
        <v>21</v>
      </c>
      <c r="F799" t="s">
        <v>12</v>
      </c>
      <c r="G799" t="s">
        <v>11</v>
      </c>
      <c r="H799">
        <v>1258</v>
      </c>
      <c r="I799">
        <v>12</v>
      </c>
      <c r="J799" t="s">
        <v>18</v>
      </c>
      <c r="K799" t="str">
        <f>IF(AND(credit[[#This Row],[Credit amount]]&gt;9000,credit[[#This Row],[Saving accounts]]="little"),"High","Low")</f>
        <v>Low</v>
      </c>
    </row>
    <row r="800" spans="1:11" x14ac:dyDescent="0.25">
      <c r="A800">
        <v>54</v>
      </c>
      <c r="B800" s="13" t="str" cm="1">
        <f t="array" ref="B800">_xlfn.IFS(credit[[#This Row],[Age]]&lt;=25,"18-25",credit[[#This Row],[Age]]&lt;=35,"26-35",credit[[#This Row],[Age]]&lt;=45,"36-45",credit[[#This Row],[Age]]&lt;=60,"46-60",TRUE,"60+")</f>
        <v>46-60</v>
      </c>
      <c r="C800" t="s">
        <v>9</v>
      </c>
      <c r="D800">
        <v>2</v>
      </c>
      <c r="E800" t="s">
        <v>10</v>
      </c>
      <c r="F800" t="s">
        <v>11</v>
      </c>
      <c r="G800" t="s">
        <v>11</v>
      </c>
      <c r="H800">
        <v>717</v>
      </c>
      <c r="I800">
        <v>24</v>
      </c>
      <c r="J800" t="s">
        <v>19</v>
      </c>
      <c r="K800" t="str">
        <f>IF(AND(credit[[#This Row],[Credit amount]]&gt;9000,credit[[#This Row],[Saving accounts]]="little"),"High","Low")</f>
        <v>Low</v>
      </c>
    </row>
    <row r="801" spans="1:11" x14ac:dyDescent="0.25">
      <c r="A801">
        <v>35</v>
      </c>
      <c r="B801" s="13" t="str" cm="1">
        <f t="array" ref="B801">_xlfn.IFS(credit[[#This Row],[Age]]&lt;=25,"18-25",credit[[#This Row],[Age]]&lt;=35,"26-35",credit[[#This Row],[Age]]&lt;=45,"36-45",credit[[#This Row],[Age]]&lt;=60,"46-60",TRUE,"60+")</f>
        <v>26-35</v>
      </c>
      <c r="C801" t="s">
        <v>9</v>
      </c>
      <c r="D801">
        <v>0</v>
      </c>
      <c r="E801" t="s">
        <v>10</v>
      </c>
      <c r="F801" t="s">
        <v>11</v>
      </c>
      <c r="G801" t="s">
        <v>15</v>
      </c>
      <c r="H801">
        <v>1549</v>
      </c>
      <c r="I801">
        <v>9</v>
      </c>
      <c r="J801" t="s">
        <v>19</v>
      </c>
      <c r="K801" t="str">
        <f>IF(AND(credit[[#This Row],[Credit amount]]&gt;9000,credit[[#This Row],[Saving accounts]]="little"),"High","Low")</f>
        <v>Low</v>
      </c>
    </row>
    <row r="802" spans="1:11" x14ac:dyDescent="0.25">
      <c r="A802">
        <v>54</v>
      </c>
      <c r="B802" s="13" t="str" cm="1">
        <f t="array" ref="B802">_xlfn.IFS(credit[[#This Row],[Age]]&lt;=25,"18-25",credit[[#This Row],[Age]]&lt;=35,"26-35",credit[[#This Row],[Age]]&lt;=45,"36-45",credit[[#This Row],[Age]]&lt;=60,"46-60",TRUE,"60+")</f>
        <v>46-60</v>
      </c>
      <c r="C802" t="s">
        <v>9</v>
      </c>
      <c r="D802">
        <v>2</v>
      </c>
      <c r="E802" t="s">
        <v>17</v>
      </c>
      <c r="F802" t="s">
        <v>12</v>
      </c>
      <c r="G802" t="s">
        <v>11</v>
      </c>
      <c r="H802">
        <v>1597</v>
      </c>
      <c r="I802">
        <v>24</v>
      </c>
      <c r="J802" t="s">
        <v>16</v>
      </c>
      <c r="K802" t="str">
        <f>IF(AND(credit[[#This Row],[Credit amount]]&gt;9000,credit[[#This Row],[Saving accounts]]="little"),"High","Low")</f>
        <v>Low</v>
      </c>
    </row>
    <row r="803" spans="1:11" x14ac:dyDescent="0.25">
      <c r="A803">
        <v>48</v>
      </c>
      <c r="B803" s="13" t="str" cm="1">
        <f t="array" ref="B803">_xlfn.IFS(credit[[#This Row],[Age]]&lt;=25,"18-25",credit[[#This Row],[Age]]&lt;=35,"26-35",credit[[#This Row],[Age]]&lt;=45,"36-45",credit[[#This Row],[Age]]&lt;=60,"46-60",TRUE,"60+")</f>
        <v>46-60</v>
      </c>
      <c r="C803" t="s">
        <v>14</v>
      </c>
      <c r="D803">
        <v>1</v>
      </c>
      <c r="E803" t="s">
        <v>21</v>
      </c>
      <c r="F803" t="s">
        <v>12</v>
      </c>
      <c r="G803" t="s">
        <v>15</v>
      </c>
      <c r="H803">
        <v>1795</v>
      </c>
      <c r="I803">
        <v>18</v>
      </c>
      <c r="J803" t="s">
        <v>13</v>
      </c>
      <c r="K803" t="str">
        <f>IF(AND(credit[[#This Row],[Credit amount]]&gt;9000,credit[[#This Row],[Saving accounts]]="little"),"High","Low")</f>
        <v>Low</v>
      </c>
    </row>
    <row r="804" spans="1:11" x14ac:dyDescent="0.25">
      <c r="A804">
        <v>24</v>
      </c>
      <c r="B804" s="13" t="str" cm="1">
        <f t="array" ref="B804">_xlfn.IFS(credit[[#This Row],[Age]]&lt;=25,"18-25",credit[[#This Row],[Age]]&lt;=35,"26-35",credit[[#This Row],[Age]]&lt;=45,"36-45",credit[[#This Row],[Age]]&lt;=60,"46-60",TRUE,"60+")</f>
        <v>18-25</v>
      </c>
      <c r="C804" t="s">
        <v>14</v>
      </c>
      <c r="D804">
        <v>2</v>
      </c>
      <c r="E804" t="s">
        <v>10</v>
      </c>
      <c r="F804" t="s">
        <v>12</v>
      </c>
      <c r="G804" t="s">
        <v>12</v>
      </c>
      <c r="H804">
        <v>4272</v>
      </c>
      <c r="I804">
        <v>20</v>
      </c>
      <c r="J804" t="s">
        <v>18</v>
      </c>
      <c r="K804" t="str">
        <f>IF(AND(credit[[#This Row],[Credit amount]]&gt;9000,credit[[#This Row],[Saving accounts]]="little"),"High","Low")</f>
        <v>Low</v>
      </c>
    </row>
    <row r="805" spans="1:11" x14ac:dyDescent="0.25">
      <c r="A805">
        <v>35</v>
      </c>
      <c r="B805" s="13" t="str" cm="1">
        <f t="array" ref="B805">_xlfn.IFS(credit[[#This Row],[Age]]&lt;=25,"18-25",credit[[#This Row],[Age]]&lt;=35,"26-35",credit[[#This Row],[Age]]&lt;=45,"36-45",credit[[#This Row],[Age]]&lt;=60,"46-60",TRUE,"60+")</f>
        <v>26-35</v>
      </c>
      <c r="C805" t="s">
        <v>9</v>
      </c>
      <c r="D805">
        <v>2</v>
      </c>
      <c r="E805" t="s">
        <v>10</v>
      </c>
      <c r="F805" t="s">
        <v>11</v>
      </c>
      <c r="G805" t="s">
        <v>11</v>
      </c>
      <c r="H805">
        <v>976</v>
      </c>
      <c r="I805">
        <v>12</v>
      </c>
      <c r="J805" t="s">
        <v>13</v>
      </c>
      <c r="K805" t="str">
        <f>IF(AND(credit[[#This Row],[Credit amount]]&gt;9000,credit[[#This Row],[Saving accounts]]="little"),"High","Low")</f>
        <v>Low</v>
      </c>
    </row>
    <row r="806" spans="1:11" x14ac:dyDescent="0.25">
      <c r="A806">
        <v>24</v>
      </c>
      <c r="B806" s="13" t="str" cm="1">
        <f t="array" ref="B806">_xlfn.IFS(credit[[#This Row],[Age]]&lt;=25,"18-25",credit[[#This Row],[Age]]&lt;=35,"26-35",credit[[#This Row],[Age]]&lt;=45,"36-45",credit[[#This Row],[Age]]&lt;=60,"46-60",TRUE,"60+")</f>
        <v>18-25</v>
      </c>
      <c r="C806" t="s">
        <v>14</v>
      </c>
      <c r="D806">
        <v>0</v>
      </c>
      <c r="E806" t="s">
        <v>21</v>
      </c>
      <c r="F806" t="s">
        <v>11</v>
      </c>
      <c r="G806" t="s">
        <v>15</v>
      </c>
      <c r="H806">
        <v>7472</v>
      </c>
      <c r="I806">
        <v>12</v>
      </c>
      <c r="J806" t="s">
        <v>19</v>
      </c>
      <c r="K806" t="str">
        <f>IF(AND(credit[[#This Row],[Credit amount]]&gt;9000,credit[[#This Row],[Saving accounts]]="little"),"High","Low")</f>
        <v>Low</v>
      </c>
    </row>
    <row r="807" spans="1:11" x14ac:dyDescent="0.25">
      <c r="A807">
        <v>24</v>
      </c>
      <c r="B807" s="13" t="str" cm="1">
        <f t="array" ref="B807">_xlfn.IFS(credit[[#This Row],[Age]]&lt;=25,"18-25",credit[[#This Row],[Age]]&lt;=35,"26-35",credit[[#This Row],[Age]]&lt;=45,"36-45",credit[[#This Row],[Age]]&lt;=60,"46-60",TRUE,"60+")</f>
        <v>18-25</v>
      </c>
      <c r="C807" t="s">
        <v>9</v>
      </c>
      <c r="D807">
        <v>2</v>
      </c>
      <c r="E807" t="s">
        <v>10</v>
      </c>
      <c r="F807" t="s">
        <v>12</v>
      </c>
      <c r="G807" t="s">
        <v>12</v>
      </c>
      <c r="H807">
        <v>9271</v>
      </c>
      <c r="I807">
        <v>36</v>
      </c>
      <c r="J807" t="s">
        <v>19</v>
      </c>
      <c r="K807" t="str">
        <f>IF(AND(credit[[#This Row],[Credit amount]]&gt;9000,credit[[#This Row],[Saving accounts]]="little"),"High","Low")</f>
        <v>High</v>
      </c>
    </row>
    <row r="808" spans="1:11" x14ac:dyDescent="0.25">
      <c r="A808">
        <v>26</v>
      </c>
      <c r="B808" s="13" t="str" cm="1">
        <f t="array" ref="B808">_xlfn.IFS(credit[[#This Row],[Age]]&lt;=25,"18-25",credit[[#This Row],[Age]]&lt;=35,"26-35",credit[[#This Row],[Age]]&lt;=45,"36-45",credit[[#This Row],[Age]]&lt;=60,"46-60",TRUE,"60+")</f>
        <v>26-35</v>
      </c>
      <c r="C808" t="s">
        <v>9</v>
      </c>
      <c r="D808">
        <v>1</v>
      </c>
      <c r="E808" t="s">
        <v>10</v>
      </c>
      <c r="F808" t="s">
        <v>12</v>
      </c>
      <c r="G808" t="s">
        <v>15</v>
      </c>
      <c r="H808">
        <v>590</v>
      </c>
      <c r="I808">
        <v>6</v>
      </c>
      <c r="J808" t="s">
        <v>13</v>
      </c>
      <c r="K808" t="str">
        <f>IF(AND(credit[[#This Row],[Credit amount]]&gt;9000,credit[[#This Row],[Saving accounts]]="little"),"High","Low")</f>
        <v>Low</v>
      </c>
    </row>
    <row r="809" spans="1:11" x14ac:dyDescent="0.25">
      <c r="A809">
        <v>65</v>
      </c>
      <c r="B809" s="13" t="str" cm="1">
        <f t="array" ref="B809">_xlfn.IFS(credit[[#This Row],[Age]]&lt;=25,"18-25",credit[[#This Row],[Age]]&lt;=35,"26-35",credit[[#This Row],[Age]]&lt;=45,"36-45",credit[[#This Row],[Age]]&lt;=60,"46-60",TRUE,"60+")</f>
        <v>60+</v>
      </c>
      <c r="C809" t="s">
        <v>9</v>
      </c>
      <c r="D809">
        <v>2</v>
      </c>
      <c r="E809" t="s">
        <v>10</v>
      </c>
      <c r="F809" t="s">
        <v>11</v>
      </c>
      <c r="G809" t="s">
        <v>11</v>
      </c>
      <c r="H809">
        <v>930</v>
      </c>
      <c r="I809">
        <v>12</v>
      </c>
      <c r="J809" t="s">
        <v>13</v>
      </c>
      <c r="K809" t="str">
        <f>IF(AND(credit[[#This Row],[Credit amount]]&gt;9000,credit[[#This Row],[Saving accounts]]="little"),"High","Low")</f>
        <v>Low</v>
      </c>
    </row>
    <row r="810" spans="1:11" x14ac:dyDescent="0.25">
      <c r="A810">
        <v>55</v>
      </c>
      <c r="B810" s="13" t="str" cm="1">
        <f t="array" ref="B810">_xlfn.IFS(credit[[#This Row],[Age]]&lt;=25,"18-25",credit[[#This Row],[Age]]&lt;=35,"26-35",credit[[#This Row],[Age]]&lt;=45,"36-45",credit[[#This Row],[Age]]&lt;=60,"46-60",TRUE,"60+")</f>
        <v>46-60</v>
      </c>
      <c r="C810" t="s">
        <v>9</v>
      </c>
      <c r="D810">
        <v>3</v>
      </c>
      <c r="E810" t="s">
        <v>17</v>
      </c>
      <c r="F810" t="s">
        <v>12</v>
      </c>
      <c r="G810" t="s">
        <v>15</v>
      </c>
      <c r="H810">
        <v>9283</v>
      </c>
      <c r="I810">
        <v>42</v>
      </c>
      <c r="J810" t="s">
        <v>19</v>
      </c>
      <c r="K810" t="str">
        <f>IF(AND(credit[[#This Row],[Credit amount]]&gt;9000,credit[[#This Row],[Saving accounts]]="little"),"High","Low")</f>
        <v>High</v>
      </c>
    </row>
    <row r="811" spans="1:11" x14ac:dyDescent="0.25">
      <c r="A811">
        <v>26</v>
      </c>
      <c r="B811" s="13" t="str" cm="1">
        <f t="array" ref="B811">_xlfn.IFS(credit[[#This Row],[Age]]&lt;=25,"18-25",credit[[#This Row],[Age]]&lt;=35,"26-35",credit[[#This Row],[Age]]&lt;=45,"36-45",credit[[#This Row],[Age]]&lt;=60,"46-60",TRUE,"60+")</f>
        <v>26-35</v>
      </c>
      <c r="C811" t="s">
        <v>14</v>
      </c>
      <c r="D811">
        <v>0</v>
      </c>
      <c r="E811" t="s">
        <v>21</v>
      </c>
      <c r="F811" t="s">
        <v>12</v>
      </c>
      <c r="G811" t="s">
        <v>15</v>
      </c>
      <c r="H811">
        <v>1778</v>
      </c>
      <c r="I811">
        <v>15</v>
      </c>
      <c r="J811" t="s">
        <v>19</v>
      </c>
      <c r="K811" t="str">
        <f>IF(AND(credit[[#This Row],[Credit amount]]&gt;9000,credit[[#This Row],[Saving accounts]]="little"),"High","Low")</f>
        <v>Low</v>
      </c>
    </row>
    <row r="812" spans="1:11" x14ac:dyDescent="0.25">
      <c r="A812">
        <v>26</v>
      </c>
      <c r="B812" s="13" t="str" cm="1">
        <f t="array" ref="B812">_xlfn.IFS(credit[[#This Row],[Age]]&lt;=25,"18-25",credit[[#This Row],[Age]]&lt;=35,"26-35",credit[[#This Row],[Age]]&lt;=45,"36-45",credit[[#This Row],[Age]]&lt;=60,"46-60",TRUE,"60+")</f>
        <v>26-35</v>
      </c>
      <c r="C812" t="s">
        <v>9</v>
      </c>
      <c r="D812">
        <v>2</v>
      </c>
      <c r="E812" t="s">
        <v>10</v>
      </c>
      <c r="F812" t="s">
        <v>12</v>
      </c>
      <c r="G812" t="s">
        <v>15</v>
      </c>
      <c r="H812">
        <v>907</v>
      </c>
      <c r="I812">
        <v>8</v>
      </c>
      <c r="J812" t="s">
        <v>23</v>
      </c>
      <c r="K812" t="str">
        <f>IF(AND(credit[[#This Row],[Credit amount]]&gt;9000,credit[[#This Row],[Saving accounts]]="little"),"High","Low")</f>
        <v>Low</v>
      </c>
    </row>
    <row r="813" spans="1:11" x14ac:dyDescent="0.25">
      <c r="A813">
        <v>28</v>
      </c>
      <c r="B813" s="13" t="str" cm="1">
        <f t="array" ref="B813">_xlfn.IFS(credit[[#This Row],[Age]]&lt;=25,"18-25",credit[[#This Row],[Age]]&lt;=35,"26-35",credit[[#This Row],[Age]]&lt;=45,"36-45",credit[[#This Row],[Age]]&lt;=60,"46-60",TRUE,"60+")</f>
        <v>26-35</v>
      </c>
      <c r="C813" t="s">
        <v>9</v>
      </c>
      <c r="D813">
        <v>1</v>
      </c>
      <c r="E813" t="s">
        <v>10</v>
      </c>
      <c r="F813" t="s">
        <v>12</v>
      </c>
      <c r="G813" t="s">
        <v>15</v>
      </c>
      <c r="H813">
        <v>484</v>
      </c>
      <c r="I813">
        <v>6</v>
      </c>
      <c r="J813" t="s">
        <v>13</v>
      </c>
      <c r="K813" t="str">
        <f>IF(AND(credit[[#This Row],[Credit amount]]&gt;9000,credit[[#This Row],[Saving accounts]]="little"),"High","Low")</f>
        <v>Low</v>
      </c>
    </row>
    <row r="814" spans="1:11" x14ac:dyDescent="0.25">
      <c r="A814">
        <v>24</v>
      </c>
      <c r="B814" s="13" t="str" cm="1">
        <f t="array" ref="B814">_xlfn.IFS(credit[[#This Row],[Age]]&lt;=25,"18-25",credit[[#This Row],[Age]]&lt;=35,"26-35",credit[[#This Row],[Age]]&lt;=45,"36-45",credit[[#This Row],[Age]]&lt;=60,"46-60",TRUE,"60+")</f>
        <v>18-25</v>
      </c>
      <c r="C814" t="s">
        <v>9</v>
      </c>
      <c r="D814">
        <v>2</v>
      </c>
      <c r="E814" t="s">
        <v>10</v>
      </c>
      <c r="F814" t="s">
        <v>12</v>
      </c>
      <c r="G814" t="s">
        <v>12</v>
      </c>
      <c r="H814">
        <v>9629</v>
      </c>
      <c r="I814">
        <v>36</v>
      </c>
      <c r="J814" t="s">
        <v>19</v>
      </c>
      <c r="K814" t="str">
        <f>IF(AND(credit[[#This Row],[Credit amount]]&gt;9000,credit[[#This Row],[Saving accounts]]="little"),"High","Low")</f>
        <v>High</v>
      </c>
    </row>
    <row r="815" spans="1:11" x14ac:dyDescent="0.25">
      <c r="A815">
        <v>54</v>
      </c>
      <c r="B815" s="13" t="str" cm="1">
        <f t="array" ref="B815">_xlfn.IFS(credit[[#This Row],[Age]]&lt;=25,"18-25",credit[[#This Row],[Age]]&lt;=35,"26-35",credit[[#This Row],[Age]]&lt;=45,"36-45",credit[[#This Row],[Age]]&lt;=60,"46-60",TRUE,"60+")</f>
        <v>46-60</v>
      </c>
      <c r="C815" t="s">
        <v>9</v>
      </c>
      <c r="D815">
        <v>2</v>
      </c>
      <c r="E815" t="s">
        <v>10</v>
      </c>
      <c r="F815" t="s">
        <v>12</v>
      </c>
      <c r="G815" t="s">
        <v>12</v>
      </c>
      <c r="H815">
        <v>3051</v>
      </c>
      <c r="I815">
        <v>48</v>
      </c>
      <c r="J815" t="s">
        <v>24</v>
      </c>
      <c r="K815" t="str">
        <f>IF(AND(credit[[#This Row],[Credit amount]]&gt;9000,credit[[#This Row],[Saving accounts]]="little"),"High","Low")</f>
        <v>Low</v>
      </c>
    </row>
    <row r="816" spans="1:11" x14ac:dyDescent="0.25">
      <c r="A816">
        <v>46</v>
      </c>
      <c r="B816" s="13" t="str" cm="1">
        <f t="array" ref="B816">_xlfn.IFS(credit[[#This Row],[Age]]&lt;=25,"18-25",credit[[#This Row],[Age]]&lt;=35,"26-35",credit[[#This Row],[Age]]&lt;=45,"36-45",credit[[#This Row],[Age]]&lt;=60,"46-60",TRUE,"60+")</f>
        <v>46-60</v>
      </c>
      <c r="C816" t="s">
        <v>9</v>
      </c>
      <c r="D816">
        <v>2</v>
      </c>
      <c r="E816" t="s">
        <v>17</v>
      </c>
      <c r="F816" t="s">
        <v>12</v>
      </c>
      <c r="G816" t="s">
        <v>12</v>
      </c>
      <c r="H816">
        <v>3931</v>
      </c>
      <c r="I816">
        <v>48</v>
      </c>
      <c r="J816" t="s">
        <v>19</v>
      </c>
      <c r="K816" t="str">
        <f>IF(AND(credit[[#This Row],[Credit amount]]&gt;9000,credit[[#This Row],[Saving accounts]]="little"),"High","Low")</f>
        <v>Low</v>
      </c>
    </row>
    <row r="817" spans="1:11" x14ac:dyDescent="0.25">
      <c r="A817">
        <v>54</v>
      </c>
      <c r="B817" s="13" t="str" cm="1">
        <f t="array" ref="B817">_xlfn.IFS(credit[[#This Row],[Age]]&lt;=25,"18-25",credit[[#This Row],[Age]]&lt;=35,"26-35",credit[[#This Row],[Age]]&lt;=45,"36-45",credit[[#This Row],[Age]]&lt;=60,"46-60",TRUE,"60+")</f>
        <v>46-60</v>
      </c>
      <c r="C817" t="s">
        <v>14</v>
      </c>
      <c r="D817">
        <v>2</v>
      </c>
      <c r="E817" t="s">
        <v>21</v>
      </c>
      <c r="F817" t="s">
        <v>12</v>
      </c>
      <c r="G817" t="s">
        <v>15</v>
      </c>
      <c r="H817">
        <v>7432</v>
      </c>
      <c r="I817">
        <v>36</v>
      </c>
      <c r="J817" t="s">
        <v>19</v>
      </c>
      <c r="K817" t="str">
        <f>IF(AND(credit[[#This Row],[Credit amount]]&gt;9000,credit[[#This Row],[Saving accounts]]="little"),"High","Low")</f>
        <v>Low</v>
      </c>
    </row>
    <row r="818" spans="1:11" x14ac:dyDescent="0.25">
      <c r="A818">
        <v>62</v>
      </c>
      <c r="B818" s="13" t="str" cm="1">
        <f t="array" ref="B818">_xlfn.IFS(credit[[#This Row],[Age]]&lt;=25,"18-25",credit[[#This Row],[Age]]&lt;=35,"26-35",credit[[#This Row],[Age]]&lt;=45,"36-45",credit[[#This Row],[Age]]&lt;=60,"46-60",TRUE,"60+")</f>
        <v>60+</v>
      </c>
      <c r="C818" t="s">
        <v>9</v>
      </c>
      <c r="D818">
        <v>2</v>
      </c>
      <c r="E818" t="s">
        <v>10</v>
      </c>
      <c r="F818" t="s">
        <v>20</v>
      </c>
      <c r="G818" t="s">
        <v>11</v>
      </c>
      <c r="H818">
        <v>1338</v>
      </c>
      <c r="I818">
        <v>6</v>
      </c>
      <c r="J818" t="s">
        <v>24</v>
      </c>
      <c r="K818" t="str">
        <f>IF(AND(credit[[#This Row],[Credit amount]]&gt;9000,credit[[#This Row],[Saving accounts]]="little"),"High","Low")</f>
        <v>Low</v>
      </c>
    </row>
    <row r="819" spans="1:11" x14ac:dyDescent="0.25">
      <c r="A819">
        <v>24</v>
      </c>
      <c r="B819" s="13" t="str" cm="1">
        <f t="array" ref="B819">_xlfn.IFS(credit[[#This Row],[Age]]&lt;=25,"18-25",credit[[#This Row],[Age]]&lt;=35,"26-35",credit[[#This Row],[Age]]&lt;=45,"36-45",credit[[#This Row],[Age]]&lt;=60,"46-60",TRUE,"60+")</f>
        <v>18-25</v>
      </c>
      <c r="C819" t="s">
        <v>14</v>
      </c>
      <c r="D819">
        <v>2</v>
      </c>
      <c r="E819" t="s">
        <v>21</v>
      </c>
      <c r="F819" t="s">
        <v>12</v>
      </c>
      <c r="G819" t="s">
        <v>11</v>
      </c>
      <c r="H819">
        <v>1554</v>
      </c>
      <c r="I819">
        <v>6</v>
      </c>
      <c r="J819" t="s">
        <v>13</v>
      </c>
      <c r="K819" t="str">
        <f>IF(AND(credit[[#This Row],[Credit amount]]&gt;9000,credit[[#This Row],[Saving accounts]]="little"),"High","Low")</f>
        <v>Low</v>
      </c>
    </row>
    <row r="820" spans="1:11" x14ac:dyDescent="0.25">
      <c r="A820">
        <v>43</v>
      </c>
      <c r="B820" s="13" t="str" cm="1">
        <f t="array" ref="B820">_xlfn.IFS(credit[[#This Row],[Age]]&lt;=25,"18-25",credit[[#This Row],[Age]]&lt;=35,"26-35",credit[[#This Row],[Age]]&lt;=45,"36-45",credit[[#This Row],[Age]]&lt;=60,"46-60",TRUE,"60+")</f>
        <v>36-45</v>
      </c>
      <c r="C820" t="s">
        <v>9</v>
      </c>
      <c r="D820">
        <v>3</v>
      </c>
      <c r="E820" t="s">
        <v>10</v>
      </c>
      <c r="F820" t="s">
        <v>12</v>
      </c>
      <c r="G820" t="s">
        <v>12</v>
      </c>
      <c r="H820">
        <v>15857</v>
      </c>
      <c r="I820">
        <v>36</v>
      </c>
      <c r="J820" t="s">
        <v>26</v>
      </c>
      <c r="K820" t="str">
        <f>IF(AND(credit[[#This Row],[Credit amount]]&gt;9000,credit[[#This Row],[Saving accounts]]="little"),"High","Low")</f>
        <v>High</v>
      </c>
    </row>
    <row r="821" spans="1:11" x14ac:dyDescent="0.25">
      <c r="A821">
        <v>26</v>
      </c>
      <c r="B821" s="13" t="str" cm="1">
        <f t="array" ref="B821">_xlfn.IFS(credit[[#This Row],[Age]]&lt;=25,"18-25",credit[[#This Row],[Age]]&lt;=35,"26-35",credit[[#This Row],[Age]]&lt;=45,"36-45",credit[[#This Row],[Age]]&lt;=60,"46-60",TRUE,"60+")</f>
        <v>26-35</v>
      </c>
      <c r="C821" t="s">
        <v>9</v>
      </c>
      <c r="D821">
        <v>2</v>
      </c>
      <c r="E821" t="s">
        <v>10</v>
      </c>
      <c r="F821" t="s">
        <v>12</v>
      </c>
      <c r="G821" t="s">
        <v>12</v>
      </c>
      <c r="H821">
        <v>1345</v>
      </c>
      <c r="I821">
        <v>18</v>
      </c>
      <c r="J821" t="s">
        <v>13</v>
      </c>
      <c r="K821" t="str">
        <f>IF(AND(credit[[#This Row],[Credit amount]]&gt;9000,credit[[#This Row],[Saving accounts]]="little"),"High","Low")</f>
        <v>Low</v>
      </c>
    </row>
    <row r="822" spans="1:11" x14ac:dyDescent="0.25">
      <c r="A822">
        <v>27</v>
      </c>
      <c r="B822" s="13" t="str" cm="1">
        <f t="array" ref="B822">_xlfn.IFS(credit[[#This Row],[Age]]&lt;=25,"18-25",credit[[#This Row],[Age]]&lt;=35,"26-35",credit[[#This Row],[Age]]&lt;=45,"36-45",credit[[#This Row],[Age]]&lt;=60,"46-60",TRUE,"60+")</f>
        <v>26-35</v>
      </c>
      <c r="C822" t="s">
        <v>9</v>
      </c>
      <c r="D822">
        <v>2</v>
      </c>
      <c r="E822" t="s">
        <v>10</v>
      </c>
      <c r="F822" t="s">
        <v>12</v>
      </c>
      <c r="G822" t="s">
        <v>11</v>
      </c>
      <c r="H822">
        <v>1101</v>
      </c>
      <c r="I822">
        <v>12</v>
      </c>
      <c r="J822" t="s">
        <v>19</v>
      </c>
      <c r="K822" t="str">
        <f>IF(AND(credit[[#This Row],[Credit amount]]&gt;9000,credit[[#This Row],[Saving accounts]]="little"),"High","Low")</f>
        <v>Low</v>
      </c>
    </row>
    <row r="823" spans="1:11" x14ac:dyDescent="0.25">
      <c r="A823">
        <v>24</v>
      </c>
      <c r="B823" s="13" t="str" cm="1">
        <f t="array" ref="B823">_xlfn.IFS(credit[[#This Row],[Age]]&lt;=25,"18-25",credit[[#This Row],[Age]]&lt;=35,"26-35",credit[[#This Row],[Age]]&lt;=45,"36-45",credit[[#This Row],[Age]]&lt;=60,"46-60",TRUE,"60+")</f>
        <v>18-25</v>
      </c>
      <c r="C823" t="s">
        <v>9</v>
      </c>
      <c r="D823">
        <v>2</v>
      </c>
      <c r="E823" t="s">
        <v>10</v>
      </c>
      <c r="F823" t="s">
        <v>12</v>
      </c>
      <c r="G823" t="s">
        <v>22</v>
      </c>
      <c r="H823">
        <v>3016</v>
      </c>
      <c r="I823">
        <v>12</v>
      </c>
      <c r="J823" t="s">
        <v>13</v>
      </c>
      <c r="K823" t="str">
        <f>IF(AND(credit[[#This Row],[Credit amount]]&gt;9000,credit[[#This Row],[Saving accounts]]="little"),"High","Low")</f>
        <v>Low</v>
      </c>
    </row>
    <row r="824" spans="1:11" x14ac:dyDescent="0.25">
      <c r="A824">
        <v>41</v>
      </c>
      <c r="B824" s="13" t="str" cm="1">
        <f t="array" ref="B824">_xlfn.IFS(credit[[#This Row],[Age]]&lt;=25,"18-25",credit[[#This Row],[Age]]&lt;=35,"26-35",credit[[#This Row],[Age]]&lt;=45,"36-45",credit[[#This Row],[Age]]&lt;=60,"46-60",TRUE,"60+")</f>
        <v>36-45</v>
      </c>
      <c r="C824" t="s">
        <v>9</v>
      </c>
      <c r="D824">
        <v>2</v>
      </c>
      <c r="E824" t="s">
        <v>10</v>
      </c>
      <c r="F824" t="s">
        <v>12</v>
      </c>
      <c r="G824" t="s">
        <v>12</v>
      </c>
      <c r="H824">
        <v>2712</v>
      </c>
      <c r="I824">
        <v>36</v>
      </c>
      <c r="J824" t="s">
        <v>18</v>
      </c>
      <c r="K824" t="str">
        <f>IF(AND(credit[[#This Row],[Credit amount]]&gt;9000,credit[[#This Row],[Saving accounts]]="little"),"High","Low")</f>
        <v>Low</v>
      </c>
    </row>
    <row r="825" spans="1:11" x14ac:dyDescent="0.25">
      <c r="A825">
        <v>47</v>
      </c>
      <c r="B825" s="13" t="str" cm="1">
        <f t="array" ref="B825">_xlfn.IFS(credit[[#This Row],[Age]]&lt;=25,"18-25",credit[[#This Row],[Age]]&lt;=35,"26-35",credit[[#This Row],[Age]]&lt;=45,"36-45",credit[[#This Row],[Age]]&lt;=60,"46-60",TRUE,"60+")</f>
        <v>46-60</v>
      </c>
      <c r="C825" t="s">
        <v>9</v>
      </c>
      <c r="D825">
        <v>1</v>
      </c>
      <c r="E825" t="s">
        <v>10</v>
      </c>
      <c r="F825" t="s">
        <v>12</v>
      </c>
      <c r="G825" t="s">
        <v>12</v>
      </c>
      <c r="H825">
        <v>731</v>
      </c>
      <c r="I825">
        <v>8</v>
      </c>
      <c r="J825" t="s">
        <v>19</v>
      </c>
      <c r="K825" t="str">
        <f>IF(AND(credit[[#This Row],[Credit amount]]&gt;9000,credit[[#This Row],[Saving accounts]]="little"),"High","Low")</f>
        <v>Low</v>
      </c>
    </row>
    <row r="826" spans="1:11" x14ac:dyDescent="0.25">
      <c r="A826">
        <v>35</v>
      </c>
      <c r="B826" s="13" t="str" cm="1">
        <f t="array" ref="B826">_xlfn.IFS(credit[[#This Row],[Age]]&lt;=25,"18-25",credit[[#This Row],[Age]]&lt;=35,"26-35",credit[[#This Row],[Age]]&lt;=45,"36-45",credit[[#This Row],[Age]]&lt;=60,"46-60",TRUE,"60+")</f>
        <v>26-35</v>
      </c>
      <c r="C826" t="s">
        <v>9</v>
      </c>
      <c r="D826">
        <v>3</v>
      </c>
      <c r="E826" t="s">
        <v>10</v>
      </c>
      <c r="F826" t="s">
        <v>12</v>
      </c>
      <c r="G826" t="s">
        <v>11</v>
      </c>
      <c r="H826">
        <v>3780</v>
      </c>
      <c r="I826">
        <v>18</v>
      </c>
      <c r="J826" t="s">
        <v>18</v>
      </c>
      <c r="K826" t="str">
        <f>IF(AND(credit[[#This Row],[Credit amount]]&gt;9000,credit[[#This Row],[Saving accounts]]="little"),"High","Low")</f>
        <v>Low</v>
      </c>
    </row>
    <row r="827" spans="1:11" x14ac:dyDescent="0.25">
      <c r="A827">
        <v>30</v>
      </c>
      <c r="B827" s="13" t="str" cm="1">
        <f t="array" ref="B827">_xlfn.IFS(credit[[#This Row],[Age]]&lt;=25,"18-25",credit[[#This Row],[Age]]&lt;=35,"26-35",credit[[#This Row],[Age]]&lt;=45,"36-45",credit[[#This Row],[Age]]&lt;=60,"46-60",TRUE,"60+")</f>
        <v>26-35</v>
      </c>
      <c r="C827" t="s">
        <v>9</v>
      </c>
      <c r="D827">
        <v>2</v>
      </c>
      <c r="E827" t="s">
        <v>10</v>
      </c>
      <c r="F827" t="s">
        <v>12</v>
      </c>
      <c r="G827" t="s">
        <v>12</v>
      </c>
      <c r="H827">
        <v>1602</v>
      </c>
      <c r="I827">
        <v>21</v>
      </c>
      <c r="J827" t="s">
        <v>19</v>
      </c>
      <c r="K827" t="str">
        <f>IF(AND(credit[[#This Row],[Credit amount]]&gt;9000,credit[[#This Row],[Saving accounts]]="little"),"High","Low")</f>
        <v>Low</v>
      </c>
    </row>
    <row r="828" spans="1:11" x14ac:dyDescent="0.25">
      <c r="A828">
        <v>33</v>
      </c>
      <c r="B828" s="13" t="str" cm="1">
        <f t="array" ref="B828">_xlfn.IFS(credit[[#This Row],[Age]]&lt;=25,"18-25",credit[[#This Row],[Age]]&lt;=35,"26-35",credit[[#This Row],[Age]]&lt;=45,"36-45",credit[[#This Row],[Age]]&lt;=60,"46-60",TRUE,"60+")</f>
        <v>26-35</v>
      </c>
      <c r="C828" t="s">
        <v>14</v>
      </c>
      <c r="D828">
        <v>2</v>
      </c>
      <c r="E828" t="s">
        <v>21</v>
      </c>
      <c r="F828" t="s">
        <v>12</v>
      </c>
      <c r="G828" t="s">
        <v>12</v>
      </c>
      <c r="H828">
        <v>3966</v>
      </c>
      <c r="I828">
        <v>18</v>
      </c>
      <c r="J828" t="s">
        <v>19</v>
      </c>
      <c r="K828" t="str">
        <f>IF(AND(credit[[#This Row],[Credit amount]]&gt;9000,credit[[#This Row],[Saving accounts]]="little"),"High","Low")</f>
        <v>Low</v>
      </c>
    </row>
    <row r="829" spans="1:11" x14ac:dyDescent="0.25">
      <c r="A829">
        <v>36</v>
      </c>
      <c r="B829" s="13" t="str" cm="1">
        <f t="array" ref="B829">_xlfn.IFS(credit[[#This Row],[Age]]&lt;=25,"18-25",credit[[#This Row],[Age]]&lt;=35,"26-35",credit[[#This Row],[Age]]&lt;=45,"36-45",credit[[#This Row],[Age]]&lt;=60,"46-60",TRUE,"60+")</f>
        <v>36-45</v>
      </c>
      <c r="C829" t="s">
        <v>9</v>
      </c>
      <c r="D829">
        <v>2</v>
      </c>
      <c r="E829" t="s">
        <v>10</v>
      </c>
      <c r="F829" t="s">
        <v>12</v>
      </c>
      <c r="G829" t="s">
        <v>11</v>
      </c>
      <c r="H829">
        <v>4165</v>
      </c>
      <c r="I829">
        <v>18</v>
      </c>
      <c r="J829" t="s">
        <v>23</v>
      </c>
      <c r="K829" t="str">
        <f>IF(AND(credit[[#This Row],[Credit amount]]&gt;9000,credit[[#This Row],[Saving accounts]]="little"),"High","Low")</f>
        <v>Low</v>
      </c>
    </row>
    <row r="830" spans="1:11" x14ac:dyDescent="0.25">
      <c r="A830">
        <v>47</v>
      </c>
      <c r="B830" s="13" t="str" cm="1">
        <f t="array" ref="B830">_xlfn.IFS(credit[[#This Row],[Age]]&lt;=25,"18-25",credit[[#This Row],[Age]]&lt;=35,"26-35",credit[[#This Row],[Age]]&lt;=45,"36-45",credit[[#This Row],[Age]]&lt;=60,"46-60",TRUE,"60+")</f>
        <v>46-60</v>
      </c>
      <c r="C830" t="s">
        <v>9</v>
      </c>
      <c r="D830">
        <v>2</v>
      </c>
      <c r="E830" t="s">
        <v>17</v>
      </c>
      <c r="F830" t="s">
        <v>11</v>
      </c>
      <c r="G830" t="s">
        <v>12</v>
      </c>
      <c r="H830">
        <v>8335</v>
      </c>
      <c r="I830">
        <v>36</v>
      </c>
      <c r="J830" t="s">
        <v>19</v>
      </c>
      <c r="K830" t="str">
        <f>IF(AND(credit[[#This Row],[Credit amount]]&gt;9000,credit[[#This Row],[Saving accounts]]="little"),"High","Low")</f>
        <v>Low</v>
      </c>
    </row>
    <row r="831" spans="1:11" x14ac:dyDescent="0.25">
      <c r="A831">
        <v>38</v>
      </c>
      <c r="B831" s="13" t="str" cm="1">
        <f t="array" ref="B831">_xlfn.IFS(credit[[#This Row],[Age]]&lt;=25,"18-25",credit[[#This Row],[Age]]&lt;=35,"26-35",credit[[#This Row],[Age]]&lt;=45,"36-45",credit[[#This Row],[Age]]&lt;=60,"46-60",TRUE,"60+")</f>
        <v>36-45</v>
      </c>
      <c r="C831" t="s">
        <v>9</v>
      </c>
      <c r="D831">
        <v>2</v>
      </c>
      <c r="E831" t="s">
        <v>17</v>
      </c>
      <c r="F831" t="s">
        <v>11</v>
      </c>
      <c r="G831" t="s">
        <v>15</v>
      </c>
      <c r="H831">
        <v>6681</v>
      </c>
      <c r="I831">
        <v>48</v>
      </c>
      <c r="J831" t="s">
        <v>23</v>
      </c>
      <c r="K831" t="str">
        <f>IF(AND(credit[[#This Row],[Credit amount]]&gt;9000,credit[[#This Row],[Saving accounts]]="little"),"High","Low")</f>
        <v>Low</v>
      </c>
    </row>
    <row r="832" spans="1:11" x14ac:dyDescent="0.25">
      <c r="A832">
        <v>44</v>
      </c>
      <c r="B832" s="13" t="str" cm="1">
        <f t="array" ref="B832">_xlfn.IFS(credit[[#This Row],[Age]]&lt;=25,"18-25",credit[[#This Row],[Age]]&lt;=35,"26-35",credit[[#This Row],[Age]]&lt;=45,"36-45",credit[[#This Row],[Age]]&lt;=60,"46-60",TRUE,"60+")</f>
        <v>36-45</v>
      </c>
      <c r="C832" t="s">
        <v>9</v>
      </c>
      <c r="D832">
        <v>2</v>
      </c>
      <c r="E832" t="s">
        <v>10</v>
      </c>
      <c r="F832" t="s">
        <v>20</v>
      </c>
      <c r="G832" t="s">
        <v>11</v>
      </c>
      <c r="H832">
        <v>2375</v>
      </c>
      <c r="I832">
        <v>24</v>
      </c>
      <c r="J832" t="s">
        <v>23</v>
      </c>
      <c r="K832" t="str">
        <f>IF(AND(credit[[#This Row],[Credit amount]]&gt;9000,credit[[#This Row],[Saving accounts]]="little"),"High","Low")</f>
        <v>Low</v>
      </c>
    </row>
    <row r="833" spans="1:11" x14ac:dyDescent="0.25">
      <c r="A833">
        <v>23</v>
      </c>
      <c r="B833" s="13" t="str" cm="1">
        <f t="array" ref="B833">_xlfn.IFS(credit[[#This Row],[Age]]&lt;=25,"18-25",credit[[#This Row],[Age]]&lt;=35,"26-35",credit[[#This Row],[Age]]&lt;=45,"36-45",credit[[#This Row],[Age]]&lt;=60,"46-60",TRUE,"60+")</f>
        <v>18-25</v>
      </c>
      <c r="C833" t="s">
        <v>14</v>
      </c>
      <c r="D833">
        <v>2</v>
      </c>
      <c r="E833" t="s">
        <v>21</v>
      </c>
      <c r="F833" t="s">
        <v>12</v>
      </c>
      <c r="G833" t="s">
        <v>12</v>
      </c>
      <c r="H833">
        <v>1216</v>
      </c>
      <c r="I833">
        <v>18</v>
      </c>
      <c r="J833" t="s">
        <v>19</v>
      </c>
      <c r="K833" t="str">
        <f>IF(AND(credit[[#This Row],[Credit amount]]&gt;9000,credit[[#This Row],[Saving accounts]]="little"),"High","Low")</f>
        <v>Low</v>
      </c>
    </row>
    <row r="834" spans="1:11" x14ac:dyDescent="0.25">
      <c r="A834">
        <v>29</v>
      </c>
      <c r="B834" s="13" t="str" cm="1">
        <f t="array" ref="B834">_xlfn.IFS(credit[[#This Row],[Age]]&lt;=25,"18-25",credit[[#This Row],[Age]]&lt;=35,"26-35",credit[[#This Row],[Age]]&lt;=45,"36-45",credit[[#This Row],[Age]]&lt;=60,"46-60",TRUE,"60+")</f>
        <v>26-35</v>
      </c>
      <c r="C834" t="s">
        <v>9</v>
      </c>
      <c r="D834">
        <v>2</v>
      </c>
      <c r="E834" t="s">
        <v>21</v>
      </c>
      <c r="F834" t="s">
        <v>12</v>
      </c>
      <c r="G834" t="s">
        <v>12</v>
      </c>
      <c r="H834">
        <v>11816</v>
      </c>
      <c r="I834">
        <v>45</v>
      </c>
      <c r="J834" t="s">
        <v>23</v>
      </c>
      <c r="K834" t="str">
        <f>IF(AND(credit[[#This Row],[Credit amount]]&gt;9000,credit[[#This Row],[Saving accounts]]="little"),"High","Low")</f>
        <v>High</v>
      </c>
    </row>
    <row r="835" spans="1:11" x14ac:dyDescent="0.25">
      <c r="A835">
        <v>42</v>
      </c>
      <c r="B835" s="13" t="str" cm="1">
        <f t="array" ref="B835">_xlfn.IFS(credit[[#This Row],[Age]]&lt;=25,"18-25",credit[[#This Row],[Age]]&lt;=35,"26-35",credit[[#This Row],[Age]]&lt;=45,"36-45",credit[[#This Row],[Age]]&lt;=60,"46-60",TRUE,"60+")</f>
        <v>36-45</v>
      </c>
      <c r="C835" t="s">
        <v>14</v>
      </c>
      <c r="D835">
        <v>2</v>
      </c>
      <c r="E835" t="s">
        <v>10</v>
      </c>
      <c r="F835" t="s">
        <v>11</v>
      </c>
      <c r="G835" t="s">
        <v>15</v>
      </c>
      <c r="H835">
        <v>5084</v>
      </c>
      <c r="I835">
        <v>24</v>
      </c>
      <c r="J835" t="s">
        <v>13</v>
      </c>
      <c r="K835" t="str">
        <f>IF(AND(credit[[#This Row],[Credit amount]]&gt;9000,credit[[#This Row],[Saving accounts]]="little"),"High","Low")</f>
        <v>Low</v>
      </c>
    </row>
    <row r="836" spans="1:11" x14ac:dyDescent="0.25">
      <c r="A836">
        <v>25</v>
      </c>
      <c r="B836" s="13" t="str" cm="1">
        <f t="array" ref="B836">_xlfn.IFS(credit[[#This Row],[Age]]&lt;=25,"18-25",credit[[#This Row],[Age]]&lt;=35,"26-35",credit[[#This Row],[Age]]&lt;=45,"36-45",credit[[#This Row],[Age]]&lt;=60,"46-60",TRUE,"60+")</f>
        <v>18-25</v>
      </c>
      <c r="C836" t="s">
        <v>14</v>
      </c>
      <c r="D836">
        <v>1</v>
      </c>
      <c r="E836" t="s">
        <v>10</v>
      </c>
      <c r="F836" t="s">
        <v>12</v>
      </c>
      <c r="G836" t="s">
        <v>22</v>
      </c>
      <c r="H836">
        <v>2327</v>
      </c>
      <c r="I836">
        <v>15</v>
      </c>
      <c r="J836" t="s">
        <v>13</v>
      </c>
      <c r="K836" t="str">
        <f>IF(AND(credit[[#This Row],[Credit amount]]&gt;9000,credit[[#This Row],[Saving accounts]]="little"),"High","Low")</f>
        <v>Low</v>
      </c>
    </row>
    <row r="837" spans="1:11" x14ac:dyDescent="0.25">
      <c r="A837">
        <v>48</v>
      </c>
      <c r="B837" s="13" t="str" cm="1">
        <f t="array" ref="B837">_xlfn.IFS(credit[[#This Row],[Age]]&lt;=25,"18-25",credit[[#This Row],[Age]]&lt;=35,"26-35",credit[[#This Row],[Age]]&lt;=45,"36-45",credit[[#This Row],[Age]]&lt;=60,"46-60",TRUE,"60+")</f>
        <v>46-60</v>
      </c>
      <c r="C837" t="s">
        <v>9</v>
      </c>
      <c r="D837">
        <v>2</v>
      </c>
      <c r="E837" t="s">
        <v>10</v>
      </c>
      <c r="F837" t="s">
        <v>12</v>
      </c>
      <c r="G837" t="s">
        <v>12</v>
      </c>
      <c r="H837">
        <v>1082</v>
      </c>
      <c r="I837">
        <v>12</v>
      </c>
      <c r="J837" t="s">
        <v>19</v>
      </c>
      <c r="K837" t="str">
        <f>IF(AND(credit[[#This Row],[Credit amount]]&gt;9000,credit[[#This Row],[Saving accounts]]="little"),"High","Low")</f>
        <v>Low</v>
      </c>
    </row>
    <row r="838" spans="1:11" x14ac:dyDescent="0.25">
      <c r="A838">
        <v>21</v>
      </c>
      <c r="B838" s="13" t="str" cm="1">
        <f t="array" ref="B838">_xlfn.IFS(credit[[#This Row],[Age]]&lt;=25,"18-25",credit[[#This Row],[Age]]&lt;=35,"26-35",credit[[#This Row],[Age]]&lt;=45,"36-45",credit[[#This Row],[Age]]&lt;=60,"46-60",TRUE,"60+")</f>
        <v>18-25</v>
      </c>
      <c r="C838" t="s">
        <v>14</v>
      </c>
      <c r="D838">
        <v>2</v>
      </c>
      <c r="E838" t="s">
        <v>10</v>
      </c>
      <c r="F838" t="s">
        <v>11</v>
      </c>
      <c r="G838" t="s">
        <v>11</v>
      </c>
      <c r="H838">
        <v>886</v>
      </c>
      <c r="I838">
        <v>12</v>
      </c>
      <c r="J838" t="s">
        <v>13</v>
      </c>
      <c r="K838" t="str">
        <f>IF(AND(credit[[#This Row],[Credit amount]]&gt;9000,credit[[#This Row],[Saving accounts]]="little"),"High","Low")</f>
        <v>Low</v>
      </c>
    </row>
    <row r="839" spans="1:11" x14ac:dyDescent="0.25">
      <c r="A839">
        <v>23</v>
      </c>
      <c r="B839" s="13" t="str" cm="1">
        <f t="array" ref="B839">_xlfn.IFS(credit[[#This Row],[Age]]&lt;=25,"18-25",credit[[#This Row],[Age]]&lt;=35,"26-35",credit[[#This Row],[Age]]&lt;=45,"36-45",credit[[#This Row],[Age]]&lt;=60,"46-60",TRUE,"60+")</f>
        <v>18-25</v>
      </c>
      <c r="C839" t="s">
        <v>14</v>
      </c>
      <c r="D839">
        <v>1</v>
      </c>
      <c r="E839" t="s">
        <v>21</v>
      </c>
      <c r="F839" t="s">
        <v>12</v>
      </c>
      <c r="G839" t="s">
        <v>11</v>
      </c>
      <c r="H839">
        <v>601</v>
      </c>
      <c r="I839">
        <v>4</v>
      </c>
      <c r="J839" t="s">
        <v>18</v>
      </c>
      <c r="K839" t="str">
        <f>IF(AND(credit[[#This Row],[Credit amount]]&gt;9000,credit[[#This Row],[Saving accounts]]="little"),"High","Low")</f>
        <v>Low</v>
      </c>
    </row>
    <row r="840" spans="1:11" x14ac:dyDescent="0.25">
      <c r="A840">
        <v>63</v>
      </c>
      <c r="B840" s="13" t="str" cm="1">
        <f t="array" ref="B840">_xlfn.IFS(credit[[#This Row],[Age]]&lt;=25,"18-25",credit[[#This Row],[Age]]&lt;=35,"26-35",credit[[#This Row],[Age]]&lt;=45,"36-45",credit[[#This Row],[Age]]&lt;=60,"46-60",TRUE,"60+")</f>
        <v>60+</v>
      </c>
      <c r="C840" t="s">
        <v>9</v>
      </c>
      <c r="D840">
        <v>2</v>
      </c>
      <c r="E840" t="s">
        <v>10</v>
      </c>
      <c r="F840" t="s">
        <v>12</v>
      </c>
      <c r="G840" t="s">
        <v>12</v>
      </c>
      <c r="H840">
        <v>2957</v>
      </c>
      <c r="I840">
        <v>24</v>
      </c>
      <c r="J840" t="s">
        <v>19</v>
      </c>
      <c r="K840" t="str">
        <f>IF(AND(credit[[#This Row],[Credit amount]]&gt;9000,credit[[#This Row],[Saving accounts]]="little"),"High","Low")</f>
        <v>Low</v>
      </c>
    </row>
    <row r="841" spans="1:11" x14ac:dyDescent="0.25">
      <c r="A841">
        <v>46</v>
      </c>
      <c r="B841" s="13" t="str" cm="1">
        <f t="array" ref="B841">_xlfn.IFS(credit[[#This Row],[Age]]&lt;=25,"18-25",credit[[#This Row],[Age]]&lt;=35,"26-35",credit[[#This Row],[Age]]&lt;=45,"36-45",credit[[#This Row],[Age]]&lt;=60,"46-60",TRUE,"60+")</f>
        <v>46-60</v>
      </c>
      <c r="C841" t="s">
        <v>9</v>
      </c>
      <c r="D841">
        <v>2</v>
      </c>
      <c r="E841" t="s">
        <v>10</v>
      </c>
      <c r="F841" t="s">
        <v>12</v>
      </c>
      <c r="G841" t="s">
        <v>11</v>
      </c>
      <c r="H841">
        <v>2611</v>
      </c>
      <c r="I841">
        <v>24</v>
      </c>
      <c r="J841" t="s">
        <v>13</v>
      </c>
      <c r="K841" t="str">
        <f>IF(AND(credit[[#This Row],[Credit amount]]&gt;9000,credit[[#This Row],[Saving accounts]]="little"),"High","Low")</f>
        <v>Low</v>
      </c>
    </row>
    <row r="842" spans="1:11" x14ac:dyDescent="0.25">
      <c r="A842">
        <v>29</v>
      </c>
      <c r="B842" s="13" t="str" cm="1">
        <f t="array" ref="B842">_xlfn.IFS(credit[[#This Row],[Age]]&lt;=25,"18-25",credit[[#This Row],[Age]]&lt;=35,"26-35",credit[[#This Row],[Age]]&lt;=45,"36-45",credit[[#This Row],[Age]]&lt;=60,"46-60",TRUE,"60+")</f>
        <v>26-35</v>
      </c>
      <c r="C842" t="s">
        <v>9</v>
      </c>
      <c r="D842">
        <v>2</v>
      </c>
      <c r="E842" t="s">
        <v>10</v>
      </c>
      <c r="F842" t="s">
        <v>12</v>
      </c>
      <c r="G842" t="s">
        <v>12</v>
      </c>
      <c r="H842">
        <v>5179</v>
      </c>
      <c r="I842">
        <v>36</v>
      </c>
      <c r="J842" t="s">
        <v>18</v>
      </c>
      <c r="K842" t="str">
        <f>IF(AND(credit[[#This Row],[Credit amount]]&gt;9000,credit[[#This Row],[Saving accounts]]="little"),"High","Low")</f>
        <v>Low</v>
      </c>
    </row>
    <row r="843" spans="1:11" x14ac:dyDescent="0.25">
      <c r="A843">
        <v>28</v>
      </c>
      <c r="B843" s="13" t="str" cm="1">
        <f t="array" ref="B843">_xlfn.IFS(credit[[#This Row],[Age]]&lt;=25,"18-25",credit[[#This Row],[Age]]&lt;=35,"26-35",credit[[#This Row],[Age]]&lt;=45,"36-45",credit[[#This Row],[Age]]&lt;=60,"46-60",TRUE,"60+")</f>
        <v>26-35</v>
      </c>
      <c r="C843" t="s">
        <v>9</v>
      </c>
      <c r="D843">
        <v>1</v>
      </c>
      <c r="E843" t="s">
        <v>10</v>
      </c>
      <c r="F843" t="s">
        <v>12</v>
      </c>
      <c r="G843" t="s">
        <v>11</v>
      </c>
      <c r="H843">
        <v>2993</v>
      </c>
      <c r="I843">
        <v>21</v>
      </c>
      <c r="J843" t="s">
        <v>19</v>
      </c>
      <c r="K843" t="str">
        <f>IF(AND(credit[[#This Row],[Credit amount]]&gt;9000,credit[[#This Row],[Saving accounts]]="little"),"High","Low")</f>
        <v>Low</v>
      </c>
    </row>
    <row r="844" spans="1:11" x14ac:dyDescent="0.25">
      <c r="A844">
        <v>23</v>
      </c>
      <c r="B844" s="13" t="str" cm="1">
        <f t="array" ref="B844">_xlfn.IFS(credit[[#This Row],[Age]]&lt;=25,"18-25",credit[[#This Row],[Age]]&lt;=35,"26-35",credit[[#This Row],[Age]]&lt;=45,"36-45",credit[[#This Row],[Age]]&lt;=60,"46-60",TRUE,"60+")</f>
        <v>18-25</v>
      </c>
      <c r="C844" t="s">
        <v>14</v>
      </c>
      <c r="D844">
        <v>2</v>
      </c>
      <c r="E844" t="s">
        <v>10</v>
      </c>
      <c r="F844" t="s">
        <v>12</v>
      </c>
      <c r="G844" t="s">
        <v>11</v>
      </c>
      <c r="H844">
        <v>1943</v>
      </c>
      <c r="I844">
        <v>18</v>
      </c>
      <c r="J844" t="s">
        <v>25</v>
      </c>
      <c r="K844" t="str">
        <f>IF(AND(credit[[#This Row],[Credit amount]]&gt;9000,credit[[#This Row],[Saving accounts]]="little"),"High","Low")</f>
        <v>Low</v>
      </c>
    </row>
    <row r="845" spans="1:11" x14ac:dyDescent="0.25">
      <c r="A845">
        <v>50</v>
      </c>
      <c r="B845" s="13" t="str" cm="1">
        <f t="array" ref="B845">_xlfn.IFS(credit[[#This Row],[Age]]&lt;=25,"18-25",credit[[#This Row],[Age]]&lt;=35,"26-35",credit[[#This Row],[Age]]&lt;=45,"36-45",credit[[#This Row],[Age]]&lt;=60,"46-60",TRUE,"60+")</f>
        <v>46-60</v>
      </c>
      <c r="C845" t="s">
        <v>9</v>
      </c>
      <c r="D845">
        <v>2</v>
      </c>
      <c r="E845" t="s">
        <v>10</v>
      </c>
      <c r="F845" t="s">
        <v>12</v>
      </c>
      <c r="G845" t="s">
        <v>11</v>
      </c>
      <c r="H845">
        <v>1559</v>
      </c>
      <c r="I845">
        <v>24</v>
      </c>
      <c r="J845" t="s">
        <v>23</v>
      </c>
      <c r="K845" t="str">
        <f>IF(AND(credit[[#This Row],[Credit amount]]&gt;9000,credit[[#This Row],[Saving accounts]]="little"),"High","Low")</f>
        <v>Low</v>
      </c>
    </row>
    <row r="846" spans="1:11" x14ac:dyDescent="0.25">
      <c r="A846">
        <v>47</v>
      </c>
      <c r="B846" s="13" t="str" cm="1">
        <f t="array" ref="B846">_xlfn.IFS(credit[[#This Row],[Age]]&lt;=25,"18-25",credit[[#This Row],[Age]]&lt;=35,"26-35",credit[[#This Row],[Age]]&lt;=45,"36-45",credit[[#This Row],[Age]]&lt;=60,"46-60",TRUE,"60+")</f>
        <v>46-60</v>
      </c>
      <c r="C846" t="s">
        <v>9</v>
      </c>
      <c r="D846">
        <v>2</v>
      </c>
      <c r="E846" t="s">
        <v>10</v>
      </c>
      <c r="F846" t="s">
        <v>12</v>
      </c>
      <c r="G846" t="s">
        <v>11</v>
      </c>
      <c r="H846">
        <v>3422</v>
      </c>
      <c r="I846">
        <v>18</v>
      </c>
      <c r="J846" t="s">
        <v>18</v>
      </c>
      <c r="K846" t="str">
        <f>IF(AND(credit[[#This Row],[Credit amount]]&gt;9000,credit[[#This Row],[Saving accounts]]="little"),"High","Low")</f>
        <v>Low</v>
      </c>
    </row>
    <row r="847" spans="1:11" x14ac:dyDescent="0.25">
      <c r="A847">
        <v>35</v>
      </c>
      <c r="B847" s="13" t="str" cm="1">
        <f t="array" ref="B847">_xlfn.IFS(credit[[#This Row],[Age]]&lt;=25,"18-25",credit[[#This Row],[Age]]&lt;=35,"26-35",credit[[#This Row],[Age]]&lt;=45,"36-45",credit[[#This Row],[Age]]&lt;=60,"46-60",TRUE,"60+")</f>
        <v>26-35</v>
      </c>
      <c r="C847" t="s">
        <v>9</v>
      </c>
      <c r="D847">
        <v>2</v>
      </c>
      <c r="E847" t="s">
        <v>10</v>
      </c>
      <c r="F847" t="s">
        <v>11</v>
      </c>
      <c r="G847" t="s">
        <v>15</v>
      </c>
      <c r="H847">
        <v>3976</v>
      </c>
      <c r="I847">
        <v>21</v>
      </c>
      <c r="J847" t="s">
        <v>18</v>
      </c>
      <c r="K847" t="str">
        <f>IF(AND(credit[[#This Row],[Credit amount]]&gt;9000,credit[[#This Row],[Saving accounts]]="little"),"High","Low")</f>
        <v>Low</v>
      </c>
    </row>
    <row r="848" spans="1:11" x14ac:dyDescent="0.25">
      <c r="A848">
        <v>68</v>
      </c>
      <c r="B848" s="13" t="str" cm="1">
        <f t="array" ref="B848">_xlfn.IFS(credit[[#This Row],[Age]]&lt;=25,"18-25",credit[[#This Row],[Age]]&lt;=35,"26-35",credit[[#This Row],[Age]]&lt;=45,"36-45",credit[[#This Row],[Age]]&lt;=60,"46-60",TRUE,"60+")</f>
        <v>60+</v>
      </c>
      <c r="C848" t="s">
        <v>9</v>
      </c>
      <c r="D848">
        <v>2</v>
      </c>
      <c r="E848" t="s">
        <v>21</v>
      </c>
      <c r="F848" t="s">
        <v>11</v>
      </c>
      <c r="G848" t="s">
        <v>11</v>
      </c>
      <c r="H848">
        <v>6761</v>
      </c>
      <c r="I848">
        <v>18</v>
      </c>
      <c r="J848" t="s">
        <v>19</v>
      </c>
      <c r="K848" t="str">
        <f>IF(AND(credit[[#This Row],[Credit amount]]&gt;9000,credit[[#This Row],[Saving accounts]]="little"),"High","Low")</f>
        <v>Low</v>
      </c>
    </row>
    <row r="849" spans="1:11" x14ac:dyDescent="0.25">
      <c r="A849">
        <v>28</v>
      </c>
      <c r="B849" s="13" t="str" cm="1">
        <f t="array" ref="B849">_xlfn.IFS(credit[[#This Row],[Age]]&lt;=25,"18-25",credit[[#This Row],[Age]]&lt;=35,"26-35",credit[[#This Row],[Age]]&lt;=45,"36-45",credit[[#This Row],[Age]]&lt;=60,"46-60",TRUE,"60+")</f>
        <v>26-35</v>
      </c>
      <c r="C849" t="s">
        <v>9</v>
      </c>
      <c r="D849">
        <v>2</v>
      </c>
      <c r="E849" t="s">
        <v>10</v>
      </c>
      <c r="F849" t="s">
        <v>12</v>
      </c>
      <c r="G849" t="s">
        <v>11</v>
      </c>
      <c r="H849">
        <v>1249</v>
      </c>
      <c r="I849">
        <v>24</v>
      </c>
      <c r="J849" t="s">
        <v>19</v>
      </c>
      <c r="K849" t="str">
        <f>IF(AND(credit[[#This Row],[Credit amount]]&gt;9000,credit[[#This Row],[Saving accounts]]="little"),"High","Low")</f>
        <v>Low</v>
      </c>
    </row>
    <row r="850" spans="1:11" x14ac:dyDescent="0.25">
      <c r="A850">
        <v>59</v>
      </c>
      <c r="B850" s="13" t="str" cm="1">
        <f t="array" ref="B850">_xlfn.IFS(credit[[#This Row],[Age]]&lt;=25,"18-25",credit[[#This Row],[Age]]&lt;=35,"26-35",credit[[#This Row],[Age]]&lt;=45,"36-45",credit[[#This Row],[Age]]&lt;=60,"46-60",TRUE,"60+")</f>
        <v>46-60</v>
      </c>
      <c r="C850" t="s">
        <v>9</v>
      </c>
      <c r="D850">
        <v>2</v>
      </c>
      <c r="E850" t="s">
        <v>10</v>
      </c>
      <c r="F850" t="s">
        <v>12</v>
      </c>
      <c r="G850" t="s">
        <v>12</v>
      </c>
      <c r="H850">
        <v>1364</v>
      </c>
      <c r="I850">
        <v>9</v>
      </c>
      <c r="J850" t="s">
        <v>13</v>
      </c>
      <c r="K850" t="str">
        <f>IF(AND(credit[[#This Row],[Credit amount]]&gt;9000,credit[[#This Row],[Saving accounts]]="little"),"High","Low")</f>
        <v>Low</v>
      </c>
    </row>
    <row r="851" spans="1:11" x14ac:dyDescent="0.25">
      <c r="A851">
        <v>57</v>
      </c>
      <c r="B851" s="13" t="str" cm="1">
        <f t="array" ref="B851">_xlfn.IFS(credit[[#This Row],[Age]]&lt;=25,"18-25",credit[[#This Row],[Age]]&lt;=35,"26-35",credit[[#This Row],[Age]]&lt;=45,"36-45",credit[[#This Row],[Age]]&lt;=60,"46-60",TRUE,"60+")</f>
        <v>46-60</v>
      </c>
      <c r="C851" t="s">
        <v>9</v>
      </c>
      <c r="D851">
        <v>1</v>
      </c>
      <c r="E851" t="s">
        <v>10</v>
      </c>
      <c r="F851" t="s">
        <v>12</v>
      </c>
      <c r="G851" t="s">
        <v>12</v>
      </c>
      <c r="H851">
        <v>709</v>
      </c>
      <c r="I851">
        <v>12</v>
      </c>
      <c r="J851" t="s">
        <v>13</v>
      </c>
      <c r="K851" t="str">
        <f>IF(AND(credit[[#This Row],[Credit amount]]&gt;9000,credit[[#This Row],[Saving accounts]]="little"),"High","Low")</f>
        <v>Low</v>
      </c>
    </row>
    <row r="852" spans="1:11" x14ac:dyDescent="0.25">
      <c r="A852">
        <v>33</v>
      </c>
      <c r="B852" s="13" t="str" cm="1">
        <f t="array" ref="B852">_xlfn.IFS(credit[[#This Row],[Age]]&lt;=25,"18-25",credit[[#This Row],[Age]]&lt;=35,"26-35",credit[[#This Row],[Age]]&lt;=45,"36-45",credit[[#This Row],[Age]]&lt;=60,"46-60",TRUE,"60+")</f>
        <v>26-35</v>
      </c>
      <c r="C852" t="s">
        <v>9</v>
      </c>
      <c r="D852">
        <v>2</v>
      </c>
      <c r="E852" t="s">
        <v>21</v>
      </c>
      <c r="F852" t="s">
        <v>12</v>
      </c>
      <c r="G852" t="s">
        <v>12</v>
      </c>
      <c r="H852">
        <v>2235</v>
      </c>
      <c r="I852">
        <v>20</v>
      </c>
      <c r="J852" t="s">
        <v>19</v>
      </c>
      <c r="K852" t="str">
        <f>IF(AND(credit[[#This Row],[Credit amount]]&gt;9000,credit[[#This Row],[Saving accounts]]="little"),"High","Low")</f>
        <v>Low</v>
      </c>
    </row>
    <row r="853" spans="1:11" x14ac:dyDescent="0.25">
      <c r="A853">
        <v>43</v>
      </c>
      <c r="B853" s="13" t="str" cm="1">
        <f t="array" ref="B853">_xlfn.IFS(credit[[#This Row],[Age]]&lt;=25,"18-25",credit[[#This Row],[Age]]&lt;=35,"26-35",credit[[#This Row],[Age]]&lt;=45,"36-45",credit[[#This Row],[Age]]&lt;=60,"46-60",TRUE,"60+")</f>
        <v>36-45</v>
      </c>
      <c r="C853" t="s">
        <v>9</v>
      </c>
      <c r="D853">
        <v>2</v>
      </c>
      <c r="E853" t="s">
        <v>10</v>
      </c>
      <c r="F853" t="s">
        <v>11</v>
      </c>
      <c r="G853" t="s">
        <v>11</v>
      </c>
      <c r="H853">
        <v>4042</v>
      </c>
      <c r="I853">
        <v>24</v>
      </c>
      <c r="J853" t="s">
        <v>19</v>
      </c>
      <c r="K853" t="str">
        <f>IF(AND(credit[[#This Row],[Credit amount]]&gt;9000,credit[[#This Row],[Saving accounts]]="little"),"High","Low")</f>
        <v>Low</v>
      </c>
    </row>
    <row r="854" spans="1:11" x14ac:dyDescent="0.25">
      <c r="A854">
        <v>35</v>
      </c>
      <c r="B854" s="13" t="str" cm="1">
        <f t="array" ref="B854">_xlfn.IFS(credit[[#This Row],[Age]]&lt;=25,"18-25",credit[[#This Row],[Age]]&lt;=35,"26-35",credit[[#This Row],[Age]]&lt;=45,"36-45",credit[[#This Row],[Age]]&lt;=60,"46-60",TRUE,"60+")</f>
        <v>26-35</v>
      </c>
      <c r="C854" t="s">
        <v>9</v>
      </c>
      <c r="D854">
        <v>2</v>
      </c>
      <c r="E854" t="s">
        <v>17</v>
      </c>
      <c r="F854" t="s">
        <v>12</v>
      </c>
      <c r="G854" t="s">
        <v>11</v>
      </c>
      <c r="H854">
        <v>1471</v>
      </c>
      <c r="I854">
        <v>15</v>
      </c>
      <c r="J854" t="s">
        <v>13</v>
      </c>
      <c r="K854" t="str">
        <f>IF(AND(credit[[#This Row],[Credit amount]]&gt;9000,credit[[#This Row],[Saving accounts]]="little"),"High","Low")</f>
        <v>Low</v>
      </c>
    </row>
    <row r="855" spans="1:11" x14ac:dyDescent="0.25">
      <c r="A855">
        <v>32</v>
      </c>
      <c r="B855" s="13" t="str" cm="1">
        <f t="array" ref="B855">_xlfn.IFS(credit[[#This Row],[Age]]&lt;=25,"18-25",credit[[#This Row],[Age]]&lt;=35,"26-35",credit[[#This Row],[Age]]&lt;=45,"36-45",credit[[#This Row],[Age]]&lt;=60,"46-60",TRUE,"60+")</f>
        <v>26-35</v>
      </c>
      <c r="C855" t="s">
        <v>9</v>
      </c>
      <c r="D855">
        <v>1</v>
      </c>
      <c r="E855" t="s">
        <v>17</v>
      </c>
      <c r="F855" t="s">
        <v>12</v>
      </c>
      <c r="G855" t="s">
        <v>12</v>
      </c>
      <c r="H855">
        <v>1442</v>
      </c>
      <c r="I855">
        <v>18</v>
      </c>
      <c r="J855" t="s">
        <v>19</v>
      </c>
      <c r="K855" t="str">
        <f>IF(AND(credit[[#This Row],[Credit amount]]&gt;9000,credit[[#This Row],[Saving accounts]]="little"),"High","Low")</f>
        <v>Low</v>
      </c>
    </row>
    <row r="856" spans="1:11" x14ac:dyDescent="0.25">
      <c r="A856">
        <v>45</v>
      </c>
      <c r="B856" s="13" t="str" cm="1">
        <f t="array" ref="B856">_xlfn.IFS(credit[[#This Row],[Age]]&lt;=25,"18-25",credit[[#This Row],[Age]]&lt;=35,"26-35",credit[[#This Row],[Age]]&lt;=45,"36-45",credit[[#This Row],[Age]]&lt;=60,"46-60",TRUE,"60+")</f>
        <v>36-45</v>
      </c>
      <c r="C856" t="s">
        <v>9</v>
      </c>
      <c r="D856">
        <v>2</v>
      </c>
      <c r="E856" t="s">
        <v>10</v>
      </c>
      <c r="F856" t="s">
        <v>12</v>
      </c>
      <c r="G856" t="s">
        <v>11</v>
      </c>
      <c r="H856">
        <v>10875</v>
      </c>
      <c r="I856">
        <v>36</v>
      </c>
      <c r="J856" t="s">
        <v>19</v>
      </c>
      <c r="K856" t="str">
        <f>IF(AND(credit[[#This Row],[Credit amount]]&gt;9000,credit[[#This Row],[Saving accounts]]="little"),"High","Low")</f>
        <v>High</v>
      </c>
    </row>
    <row r="857" spans="1:11" x14ac:dyDescent="0.25">
      <c r="A857">
        <v>33</v>
      </c>
      <c r="B857" s="13" t="str" cm="1">
        <f t="array" ref="B857">_xlfn.IFS(credit[[#This Row],[Age]]&lt;=25,"18-25",credit[[#This Row],[Age]]&lt;=35,"26-35",credit[[#This Row],[Age]]&lt;=45,"36-45",credit[[#This Row],[Age]]&lt;=60,"46-60",TRUE,"60+")</f>
        <v>26-35</v>
      </c>
      <c r="C857" t="s">
        <v>9</v>
      </c>
      <c r="D857">
        <v>2</v>
      </c>
      <c r="E857" t="s">
        <v>10</v>
      </c>
      <c r="F857" t="s">
        <v>15</v>
      </c>
      <c r="G857" t="s">
        <v>11</v>
      </c>
      <c r="H857">
        <v>1474</v>
      </c>
      <c r="I857">
        <v>24</v>
      </c>
      <c r="J857" t="s">
        <v>19</v>
      </c>
      <c r="K857" t="str">
        <f>IF(AND(credit[[#This Row],[Credit amount]]&gt;9000,credit[[#This Row],[Saving accounts]]="little"),"High","Low")</f>
        <v>Low</v>
      </c>
    </row>
    <row r="858" spans="1:11" x14ac:dyDescent="0.25">
      <c r="A858">
        <v>40</v>
      </c>
      <c r="B858" s="13" t="str" cm="1">
        <f t="array" ref="B858">_xlfn.IFS(credit[[#This Row],[Age]]&lt;=25,"18-25",credit[[#This Row],[Age]]&lt;=35,"26-35",credit[[#This Row],[Age]]&lt;=45,"36-45",credit[[#This Row],[Age]]&lt;=60,"46-60",TRUE,"60+")</f>
        <v>36-45</v>
      </c>
      <c r="C858" t="s">
        <v>14</v>
      </c>
      <c r="D858">
        <v>2</v>
      </c>
      <c r="E858" t="s">
        <v>10</v>
      </c>
      <c r="F858" t="s">
        <v>11</v>
      </c>
      <c r="G858" t="s">
        <v>11</v>
      </c>
      <c r="H858">
        <v>894</v>
      </c>
      <c r="I858">
        <v>10</v>
      </c>
      <c r="J858" t="s">
        <v>16</v>
      </c>
      <c r="K858" t="str">
        <f>IF(AND(credit[[#This Row],[Credit amount]]&gt;9000,credit[[#This Row],[Saving accounts]]="little"),"High","Low")</f>
        <v>Low</v>
      </c>
    </row>
    <row r="859" spans="1:11" x14ac:dyDescent="0.25">
      <c r="A859">
        <v>28</v>
      </c>
      <c r="B859" s="13" t="str" cm="1">
        <f t="array" ref="B859">_xlfn.IFS(credit[[#This Row],[Age]]&lt;=25,"18-25",credit[[#This Row],[Age]]&lt;=35,"26-35",credit[[#This Row],[Age]]&lt;=45,"36-45",credit[[#This Row],[Age]]&lt;=60,"46-60",TRUE,"60+")</f>
        <v>26-35</v>
      </c>
      <c r="C859" t="s">
        <v>9</v>
      </c>
      <c r="D859">
        <v>2</v>
      </c>
      <c r="E859" t="s">
        <v>17</v>
      </c>
      <c r="F859" t="s">
        <v>12</v>
      </c>
      <c r="G859" t="s">
        <v>11</v>
      </c>
      <c r="H859">
        <v>3343</v>
      </c>
      <c r="I859">
        <v>15</v>
      </c>
      <c r="J859" t="s">
        <v>18</v>
      </c>
      <c r="K859" t="str">
        <f>IF(AND(credit[[#This Row],[Credit amount]]&gt;9000,credit[[#This Row],[Saving accounts]]="little"),"High","Low")</f>
        <v>Low</v>
      </c>
    </row>
    <row r="860" spans="1:11" x14ac:dyDescent="0.25">
      <c r="A860">
        <v>29</v>
      </c>
      <c r="B860" s="13" t="str" cm="1">
        <f t="array" ref="B860">_xlfn.IFS(credit[[#This Row],[Age]]&lt;=25,"18-25",credit[[#This Row],[Age]]&lt;=35,"26-35",credit[[#This Row],[Age]]&lt;=45,"36-45",credit[[#This Row],[Age]]&lt;=60,"46-60",TRUE,"60+")</f>
        <v>26-35</v>
      </c>
      <c r="C860" t="s">
        <v>14</v>
      </c>
      <c r="D860">
        <v>2</v>
      </c>
      <c r="E860" t="s">
        <v>10</v>
      </c>
      <c r="F860" t="s">
        <v>12</v>
      </c>
      <c r="G860" t="s">
        <v>12</v>
      </c>
      <c r="H860">
        <v>3959</v>
      </c>
      <c r="I860">
        <v>15</v>
      </c>
      <c r="J860" t="s">
        <v>19</v>
      </c>
      <c r="K860" t="str">
        <f>IF(AND(credit[[#This Row],[Credit amount]]&gt;9000,credit[[#This Row],[Saving accounts]]="little"),"High","Low")</f>
        <v>Low</v>
      </c>
    </row>
    <row r="861" spans="1:11" x14ac:dyDescent="0.25">
      <c r="A861">
        <v>26</v>
      </c>
      <c r="B861" s="13" t="str" cm="1">
        <f t="array" ref="B861">_xlfn.IFS(credit[[#This Row],[Age]]&lt;=25,"18-25",credit[[#This Row],[Age]]&lt;=35,"26-35",credit[[#This Row],[Age]]&lt;=45,"36-45",credit[[#This Row],[Age]]&lt;=60,"46-60",TRUE,"60+")</f>
        <v>26-35</v>
      </c>
      <c r="C861" t="s">
        <v>9</v>
      </c>
      <c r="D861">
        <v>2</v>
      </c>
      <c r="E861" t="s">
        <v>21</v>
      </c>
      <c r="F861" t="s">
        <v>15</v>
      </c>
      <c r="G861" t="s">
        <v>11</v>
      </c>
      <c r="H861">
        <v>3577</v>
      </c>
      <c r="I861">
        <v>9</v>
      </c>
      <c r="J861" t="s">
        <v>19</v>
      </c>
      <c r="K861" t="str">
        <f>IF(AND(credit[[#This Row],[Credit amount]]&gt;9000,credit[[#This Row],[Saving accounts]]="little"),"High","Low")</f>
        <v>Low</v>
      </c>
    </row>
    <row r="862" spans="1:11" x14ac:dyDescent="0.25">
      <c r="A862">
        <v>27</v>
      </c>
      <c r="B862" s="13" t="str" cm="1">
        <f t="array" ref="B862">_xlfn.IFS(credit[[#This Row],[Age]]&lt;=25,"18-25",credit[[#This Row],[Age]]&lt;=35,"26-35",credit[[#This Row],[Age]]&lt;=45,"36-45",credit[[#This Row],[Age]]&lt;=60,"46-60",TRUE,"60+")</f>
        <v>26-35</v>
      </c>
      <c r="C862" t="s">
        <v>9</v>
      </c>
      <c r="D862">
        <v>2</v>
      </c>
      <c r="E862" t="s">
        <v>10</v>
      </c>
      <c r="F862" t="s">
        <v>22</v>
      </c>
      <c r="G862" t="s">
        <v>11</v>
      </c>
      <c r="H862">
        <v>5804</v>
      </c>
      <c r="I862">
        <v>24</v>
      </c>
      <c r="J862" t="s">
        <v>19</v>
      </c>
      <c r="K862" t="str">
        <f>IF(AND(credit[[#This Row],[Credit amount]]&gt;9000,credit[[#This Row],[Saving accounts]]="little"),"High","Low")</f>
        <v>Low</v>
      </c>
    </row>
    <row r="863" spans="1:11" x14ac:dyDescent="0.25">
      <c r="A863">
        <v>28</v>
      </c>
      <c r="B863" s="13" t="str" cm="1">
        <f t="array" ref="B863">_xlfn.IFS(credit[[#This Row],[Age]]&lt;=25,"18-25",credit[[#This Row],[Age]]&lt;=35,"26-35",credit[[#This Row],[Age]]&lt;=45,"36-45",credit[[#This Row],[Age]]&lt;=60,"46-60",TRUE,"60+")</f>
        <v>26-35</v>
      </c>
      <c r="C863" t="s">
        <v>9</v>
      </c>
      <c r="D863">
        <v>2</v>
      </c>
      <c r="E863" t="s">
        <v>10</v>
      </c>
      <c r="F863" t="s">
        <v>12</v>
      </c>
      <c r="G863" t="s">
        <v>11</v>
      </c>
      <c r="H863">
        <v>2169</v>
      </c>
      <c r="I863">
        <v>18</v>
      </c>
      <c r="J863" t="s">
        <v>23</v>
      </c>
      <c r="K863" t="str">
        <f>IF(AND(credit[[#This Row],[Credit amount]]&gt;9000,credit[[#This Row],[Saving accounts]]="little"),"High","Low")</f>
        <v>Low</v>
      </c>
    </row>
    <row r="864" spans="1:11" x14ac:dyDescent="0.25">
      <c r="A864">
        <v>35</v>
      </c>
      <c r="B864" s="13" t="str" cm="1">
        <f t="array" ref="B864">_xlfn.IFS(credit[[#This Row],[Age]]&lt;=25,"18-25",credit[[#This Row],[Age]]&lt;=35,"26-35",credit[[#This Row],[Age]]&lt;=45,"36-45",credit[[#This Row],[Age]]&lt;=60,"46-60",TRUE,"60+")</f>
        <v>26-35</v>
      </c>
      <c r="C864" t="s">
        <v>14</v>
      </c>
      <c r="D864">
        <v>2</v>
      </c>
      <c r="E864" t="s">
        <v>10</v>
      </c>
      <c r="F864" t="s">
        <v>12</v>
      </c>
      <c r="G864" t="s">
        <v>12</v>
      </c>
      <c r="H864">
        <v>2439</v>
      </c>
      <c r="I864">
        <v>24</v>
      </c>
      <c r="J864" t="s">
        <v>13</v>
      </c>
      <c r="K864" t="str">
        <f>IF(AND(credit[[#This Row],[Credit amount]]&gt;9000,credit[[#This Row],[Saving accounts]]="little"),"High","Low")</f>
        <v>Low</v>
      </c>
    </row>
    <row r="865" spans="1:11" x14ac:dyDescent="0.25">
      <c r="A865">
        <v>32</v>
      </c>
      <c r="B865" s="13" t="str" cm="1">
        <f t="array" ref="B865">_xlfn.IFS(credit[[#This Row],[Age]]&lt;=25,"18-25",credit[[#This Row],[Age]]&lt;=35,"26-35",credit[[#This Row],[Age]]&lt;=45,"36-45",credit[[#This Row],[Age]]&lt;=60,"46-60",TRUE,"60+")</f>
        <v>26-35</v>
      </c>
      <c r="C865" t="s">
        <v>9</v>
      </c>
      <c r="D865">
        <v>1</v>
      </c>
      <c r="E865" t="s">
        <v>10</v>
      </c>
      <c r="F865" t="s">
        <v>22</v>
      </c>
      <c r="G865" t="s">
        <v>11</v>
      </c>
      <c r="H865">
        <v>4526</v>
      </c>
      <c r="I865">
        <v>27</v>
      </c>
      <c r="J865" t="s">
        <v>18</v>
      </c>
      <c r="K865" t="str">
        <f>IF(AND(credit[[#This Row],[Credit amount]]&gt;9000,credit[[#This Row],[Saving accounts]]="little"),"High","Low")</f>
        <v>Low</v>
      </c>
    </row>
    <row r="866" spans="1:11" x14ac:dyDescent="0.25">
      <c r="A866">
        <v>25</v>
      </c>
      <c r="B866" s="13" t="str" cm="1">
        <f t="array" ref="B866">_xlfn.IFS(credit[[#This Row],[Age]]&lt;=25,"18-25",credit[[#This Row],[Age]]&lt;=35,"26-35",credit[[#This Row],[Age]]&lt;=45,"36-45",credit[[#This Row],[Age]]&lt;=60,"46-60",TRUE,"60+")</f>
        <v>18-25</v>
      </c>
      <c r="C866" t="s">
        <v>9</v>
      </c>
      <c r="D866">
        <v>1</v>
      </c>
      <c r="E866" t="s">
        <v>21</v>
      </c>
      <c r="F866" t="s">
        <v>12</v>
      </c>
      <c r="G866" t="s">
        <v>11</v>
      </c>
      <c r="H866">
        <v>2210</v>
      </c>
      <c r="I866">
        <v>10</v>
      </c>
      <c r="J866" t="s">
        <v>18</v>
      </c>
      <c r="K866" t="str">
        <f>IF(AND(credit[[#This Row],[Credit amount]]&gt;9000,credit[[#This Row],[Saving accounts]]="little"),"High","Low")</f>
        <v>Low</v>
      </c>
    </row>
    <row r="867" spans="1:11" x14ac:dyDescent="0.25">
      <c r="A867">
        <v>20</v>
      </c>
      <c r="B867" s="13" t="str" cm="1">
        <f t="array" ref="B867">_xlfn.IFS(credit[[#This Row],[Age]]&lt;=25,"18-25",credit[[#This Row],[Age]]&lt;=35,"26-35",credit[[#This Row],[Age]]&lt;=45,"36-45",credit[[#This Row],[Age]]&lt;=60,"46-60",TRUE,"60+")</f>
        <v>18-25</v>
      </c>
      <c r="C867" t="s">
        <v>14</v>
      </c>
      <c r="D867">
        <v>2</v>
      </c>
      <c r="E867" t="s">
        <v>21</v>
      </c>
      <c r="F867" t="s">
        <v>20</v>
      </c>
      <c r="G867" t="s">
        <v>11</v>
      </c>
      <c r="H867">
        <v>2221</v>
      </c>
      <c r="I867">
        <v>15</v>
      </c>
      <c r="J867" t="s">
        <v>18</v>
      </c>
      <c r="K867" t="str">
        <f>IF(AND(credit[[#This Row],[Credit amount]]&gt;9000,credit[[#This Row],[Saving accounts]]="little"),"High","Low")</f>
        <v>Low</v>
      </c>
    </row>
    <row r="868" spans="1:11" x14ac:dyDescent="0.25">
      <c r="A868">
        <v>27</v>
      </c>
      <c r="B868" s="13" t="str" cm="1">
        <f t="array" ref="B868">_xlfn.IFS(credit[[#This Row],[Age]]&lt;=25,"18-25",credit[[#This Row],[Age]]&lt;=35,"26-35",credit[[#This Row],[Age]]&lt;=45,"36-45",credit[[#This Row],[Age]]&lt;=60,"46-60",TRUE,"60+")</f>
        <v>26-35</v>
      </c>
      <c r="C868" t="s">
        <v>14</v>
      </c>
      <c r="D868">
        <v>2</v>
      </c>
      <c r="E868" t="s">
        <v>10</v>
      </c>
      <c r="F868" t="s">
        <v>12</v>
      </c>
      <c r="G868" t="s">
        <v>12</v>
      </c>
      <c r="H868">
        <v>2389</v>
      </c>
      <c r="I868">
        <v>18</v>
      </c>
      <c r="J868" t="s">
        <v>13</v>
      </c>
      <c r="K868" t="str">
        <f>IF(AND(credit[[#This Row],[Credit amount]]&gt;9000,credit[[#This Row],[Saving accounts]]="little"),"High","Low")</f>
        <v>Low</v>
      </c>
    </row>
    <row r="869" spans="1:11" x14ac:dyDescent="0.25">
      <c r="A869">
        <v>42</v>
      </c>
      <c r="B869" s="13" t="str" cm="1">
        <f t="array" ref="B869">_xlfn.IFS(credit[[#This Row],[Age]]&lt;=25,"18-25",credit[[#This Row],[Age]]&lt;=35,"26-35",credit[[#This Row],[Age]]&lt;=45,"36-45",credit[[#This Row],[Age]]&lt;=60,"46-60",TRUE,"60+")</f>
        <v>36-45</v>
      </c>
      <c r="C869" t="s">
        <v>9</v>
      </c>
      <c r="D869">
        <v>2</v>
      </c>
      <c r="E869" t="s">
        <v>10</v>
      </c>
      <c r="F869" t="s">
        <v>12</v>
      </c>
      <c r="G869" t="s">
        <v>11</v>
      </c>
      <c r="H869">
        <v>3331</v>
      </c>
      <c r="I869">
        <v>12</v>
      </c>
      <c r="J869" t="s">
        <v>18</v>
      </c>
      <c r="K869" t="str">
        <f>IF(AND(credit[[#This Row],[Credit amount]]&gt;9000,credit[[#This Row],[Saving accounts]]="little"),"High","Low")</f>
        <v>Low</v>
      </c>
    </row>
    <row r="870" spans="1:11" x14ac:dyDescent="0.25">
      <c r="A870">
        <v>37</v>
      </c>
      <c r="B870" s="13" t="str" cm="1">
        <f t="array" ref="B870">_xlfn.IFS(credit[[#This Row],[Age]]&lt;=25,"18-25",credit[[#This Row],[Age]]&lt;=35,"26-35",credit[[#This Row],[Age]]&lt;=45,"36-45",credit[[#This Row],[Age]]&lt;=60,"46-60",TRUE,"60+")</f>
        <v>36-45</v>
      </c>
      <c r="C870" t="s">
        <v>9</v>
      </c>
      <c r="D870">
        <v>2</v>
      </c>
      <c r="E870" t="s">
        <v>10</v>
      </c>
      <c r="F870" t="s">
        <v>11</v>
      </c>
      <c r="G870" t="s">
        <v>11</v>
      </c>
      <c r="H870">
        <v>7409</v>
      </c>
      <c r="I870">
        <v>36</v>
      </c>
      <c r="J870" t="s">
        <v>23</v>
      </c>
      <c r="K870" t="str">
        <f>IF(AND(credit[[#This Row],[Credit amount]]&gt;9000,credit[[#This Row],[Saving accounts]]="little"),"High","Low")</f>
        <v>Low</v>
      </c>
    </row>
    <row r="871" spans="1:11" x14ac:dyDescent="0.25">
      <c r="A871">
        <v>24</v>
      </c>
      <c r="B871" s="13" t="str" cm="1">
        <f t="array" ref="B871">_xlfn.IFS(credit[[#This Row],[Age]]&lt;=25,"18-25",credit[[#This Row],[Age]]&lt;=35,"26-35",credit[[#This Row],[Age]]&lt;=45,"36-45",credit[[#This Row],[Age]]&lt;=60,"46-60",TRUE,"60+")</f>
        <v>18-25</v>
      </c>
      <c r="C871" t="s">
        <v>14</v>
      </c>
      <c r="D871">
        <v>2</v>
      </c>
      <c r="E871" t="s">
        <v>21</v>
      </c>
      <c r="F871" t="s">
        <v>12</v>
      </c>
      <c r="G871" t="s">
        <v>12</v>
      </c>
      <c r="H871">
        <v>652</v>
      </c>
      <c r="I871">
        <v>12</v>
      </c>
      <c r="J871" t="s">
        <v>18</v>
      </c>
      <c r="K871" t="str">
        <f>IF(AND(credit[[#This Row],[Credit amount]]&gt;9000,credit[[#This Row],[Saving accounts]]="little"),"High","Low")</f>
        <v>Low</v>
      </c>
    </row>
    <row r="872" spans="1:11" x14ac:dyDescent="0.25">
      <c r="A872">
        <v>40</v>
      </c>
      <c r="B872" s="13" t="str" cm="1">
        <f t="array" ref="B872">_xlfn.IFS(credit[[#This Row],[Age]]&lt;=25,"18-25",credit[[#This Row],[Age]]&lt;=35,"26-35",credit[[#This Row],[Age]]&lt;=45,"36-45",credit[[#This Row],[Age]]&lt;=60,"46-60",TRUE,"60+")</f>
        <v>36-45</v>
      </c>
      <c r="C872" t="s">
        <v>14</v>
      </c>
      <c r="D872">
        <v>2</v>
      </c>
      <c r="E872" t="s">
        <v>10</v>
      </c>
      <c r="F872" t="s">
        <v>20</v>
      </c>
      <c r="G872" t="s">
        <v>11</v>
      </c>
      <c r="H872">
        <v>7678</v>
      </c>
      <c r="I872">
        <v>36</v>
      </c>
      <c r="J872" t="s">
        <v>18</v>
      </c>
      <c r="K872" t="str">
        <f>IF(AND(credit[[#This Row],[Credit amount]]&gt;9000,credit[[#This Row],[Saving accounts]]="little"),"High","Low")</f>
        <v>Low</v>
      </c>
    </row>
    <row r="873" spans="1:11" x14ac:dyDescent="0.25">
      <c r="A873">
        <v>46</v>
      </c>
      <c r="B873" s="13" t="str" cm="1">
        <f t="array" ref="B873">_xlfn.IFS(credit[[#This Row],[Age]]&lt;=25,"18-25",credit[[#This Row],[Age]]&lt;=35,"26-35",credit[[#This Row],[Age]]&lt;=45,"36-45",credit[[#This Row],[Age]]&lt;=60,"46-60",TRUE,"60+")</f>
        <v>46-60</v>
      </c>
      <c r="C873" t="s">
        <v>9</v>
      </c>
      <c r="D873">
        <v>2</v>
      </c>
      <c r="E873" t="s">
        <v>10</v>
      </c>
      <c r="F873" t="s">
        <v>12</v>
      </c>
      <c r="G873" t="s">
        <v>22</v>
      </c>
      <c r="H873">
        <v>1343</v>
      </c>
      <c r="I873">
        <v>6</v>
      </c>
      <c r="J873" t="s">
        <v>19</v>
      </c>
      <c r="K873" t="str">
        <f>IF(AND(credit[[#This Row],[Credit amount]]&gt;9000,credit[[#This Row],[Saving accounts]]="little"),"High","Low")</f>
        <v>Low</v>
      </c>
    </row>
    <row r="874" spans="1:11" x14ac:dyDescent="0.25">
      <c r="A874">
        <v>26</v>
      </c>
      <c r="B874" s="13" t="str" cm="1">
        <f t="array" ref="B874">_xlfn.IFS(credit[[#This Row],[Age]]&lt;=25,"18-25",credit[[#This Row],[Age]]&lt;=35,"26-35",credit[[#This Row],[Age]]&lt;=45,"36-45",credit[[#This Row],[Age]]&lt;=60,"46-60",TRUE,"60+")</f>
        <v>26-35</v>
      </c>
      <c r="C874" t="s">
        <v>9</v>
      </c>
      <c r="D874">
        <v>2</v>
      </c>
      <c r="E874" t="s">
        <v>10</v>
      </c>
      <c r="F874" t="s">
        <v>15</v>
      </c>
      <c r="G874" t="s">
        <v>12</v>
      </c>
      <c r="H874">
        <v>1382</v>
      </c>
      <c r="I874">
        <v>24</v>
      </c>
      <c r="J874" t="s">
        <v>23</v>
      </c>
      <c r="K874" t="str">
        <f>IF(AND(credit[[#This Row],[Credit amount]]&gt;9000,credit[[#This Row],[Saving accounts]]="little"),"High","Low")</f>
        <v>Low</v>
      </c>
    </row>
    <row r="875" spans="1:11" x14ac:dyDescent="0.25">
      <c r="A875">
        <v>24</v>
      </c>
      <c r="B875" s="13" t="str" cm="1">
        <f t="array" ref="B875">_xlfn.IFS(credit[[#This Row],[Age]]&lt;=25,"18-25",credit[[#This Row],[Age]]&lt;=35,"26-35",credit[[#This Row],[Age]]&lt;=45,"36-45",credit[[#This Row],[Age]]&lt;=60,"46-60",TRUE,"60+")</f>
        <v>18-25</v>
      </c>
      <c r="C875" t="s">
        <v>14</v>
      </c>
      <c r="D875">
        <v>2</v>
      </c>
      <c r="E875" t="s">
        <v>10</v>
      </c>
      <c r="F875" t="s">
        <v>11</v>
      </c>
      <c r="G875" t="s">
        <v>11</v>
      </c>
      <c r="H875">
        <v>874</v>
      </c>
      <c r="I875">
        <v>15</v>
      </c>
      <c r="J875" t="s">
        <v>24</v>
      </c>
      <c r="K875" t="str">
        <f>IF(AND(credit[[#This Row],[Credit amount]]&gt;9000,credit[[#This Row],[Saving accounts]]="little"),"High","Low")</f>
        <v>Low</v>
      </c>
    </row>
    <row r="876" spans="1:11" x14ac:dyDescent="0.25">
      <c r="A876">
        <v>29</v>
      </c>
      <c r="B876" s="13" t="str" cm="1">
        <f t="array" ref="B876">_xlfn.IFS(credit[[#This Row],[Age]]&lt;=25,"18-25",credit[[#This Row],[Age]]&lt;=35,"26-35",credit[[#This Row],[Age]]&lt;=45,"36-45",credit[[#This Row],[Age]]&lt;=60,"46-60",TRUE,"60+")</f>
        <v>26-35</v>
      </c>
      <c r="C876" t="s">
        <v>9</v>
      </c>
      <c r="D876">
        <v>1</v>
      </c>
      <c r="E876" t="s">
        <v>10</v>
      </c>
      <c r="F876" t="s">
        <v>12</v>
      </c>
      <c r="G876" t="s">
        <v>12</v>
      </c>
      <c r="H876">
        <v>3590</v>
      </c>
      <c r="I876">
        <v>12</v>
      </c>
      <c r="J876" t="s">
        <v>18</v>
      </c>
      <c r="K876" t="str">
        <f>IF(AND(credit[[#This Row],[Credit amount]]&gt;9000,credit[[#This Row],[Saving accounts]]="little"),"High","Low")</f>
        <v>Low</v>
      </c>
    </row>
    <row r="877" spans="1:11" x14ac:dyDescent="0.25">
      <c r="A877">
        <v>40</v>
      </c>
      <c r="B877" s="13" t="str" cm="1">
        <f t="array" ref="B877">_xlfn.IFS(credit[[#This Row],[Age]]&lt;=25,"18-25",credit[[#This Row],[Age]]&lt;=35,"26-35",credit[[#This Row],[Age]]&lt;=45,"36-45",credit[[#This Row],[Age]]&lt;=60,"46-60",TRUE,"60+")</f>
        <v>36-45</v>
      </c>
      <c r="C877" t="s">
        <v>14</v>
      </c>
      <c r="D877">
        <v>2</v>
      </c>
      <c r="E877" t="s">
        <v>10</v>
      </c>
      <c r="F877" t="s">
        <v>22</v>
      </c>
      <c r="G877" t="s">
        <v>15</v>
      </c>
      <c r="H877">
        <v>1322</v>
      </c>
      <c r="I877">
        <v>11</v>
      </c>
      <c r="J877" t="s">
        <v>19</v>
      </c>
      <c r="K877" t="str">
        <f>IF(AND(credit[[#This Row],[Credit amount]]&gt;9000,credit[[#This Row],[Saving accounts]]="little"),"High","Low")</f>
        <v>Low</v>
      </c>
    </row>
    <row r="878" spans="1:11" x14ac:dyDescent="0.25">
      <c r="A878">
        <v>36</v>
      </c>
      <c r="B878" s="13" t="str" cm="1">
        <f t="array" ref="B878">_xlfn.IFS(credit[[#This Row],[Age]]&lt;=25,"18-25",credit[[#This Row],[Age]]&lt;=35,"26-35",credit[[#This Row],[Age]]&lt;=45,"36-45",credit[[#This Row],[Age]]&lt;=60,"46-60",TRUE,"60+")</f>
        <v>36-45</v>
      </c>
      <c r="C878" t="s">
        <v>9</v>
      </c>
      <c r="D878">
        <v>3</v>
      </c>
      <c r="E878" t="s">
        <v>17</v>
      </c>
      <c r="F878" t="s">
        <v>12</v>
      </c>
      <c r="G878" t="s">
        <v>12</v>
      </c>
      <c r="H878">
        <v>1940</v>
      </c>
      <c r="I878">
        <v>18</v>
      </c>
      <c r="J878" t="s">
        <v>13</v>
      </c>
      <c r="K878" t="str">
        <f>IF(AND(credit[[#This Row],[Credit amount]]&gt;9000,credit[[#This Row],[Saving accounts]]="little"),"High","Low")</f>
        <v>Low</v>
      </c>
    </row>
    <row r="879" spans="1:11" x14ac:dyDescent="0.25">
      <c r="A879">
        <v>28</v>
      </c>
      <c r="B879" s="13" t="str" cm="1">
        <f t="array" ref="B879">_xlfn.IFS(credit[[#This Row],[Age]]&lt;=25,"18-25",credit[[#This Row],[Age]]&lt;=35,"26-35",credit[[#This Row],[Age]]&lt;=45,"36-45",credit[[#This Row],[Age]]&lt;=60,"46-60",TRUE,"60+")</f>
        <v>26-35</v>
      </c>
      <c r="C879" t="s">
        <v>9</v>
      </c>
      <c r="D879">
        <v>2</v>
      </c>
      <c r="E879" t="s">
        <v>10</v>
      </c>
      <c r="F879" t="s">
        <v>12</v>
      </c>
      <c r="G879" t="s">
        <v>11</v>
      </c>
      <c r="H879">
        <v>3595</v>
      </c>
      <c r="I879">
        <v>36</v>
      </c>
      <c r="J879" t="s">
        <v>13</v>
      </c>
      <c r="K879" t="str">
        <f>IF(AND(credit[[#This Row],[Credit amount]]&gt;9000,credit[[#This Row],[Saving accounts]]="little"),"High","Low")</f>
        <v>Low</v>
      </c>
    </row>
    <row r="880" spans="1:11" x14ac:dyDescent="0.25">
      <c r="A880">
        <v>27</v>
      </c>
      <c r="B880" s="13" t="str" cm="1">
        <f t="array" ref="B880">_xlfn.IFS(credit[[#This Row],[Age]]&lt;=25,"18-25",credit[[#This Row],[Age]]&lt;=35,"26-35",credit[[#This Row],[Age]]&lt;=45,"36-45",credit[[#This Row],[Age]]&lt;=60,"46-60",TRUE,"60+")</f>
        <v>26-35</v>
      </c>
      <c r="C880" t="s">
        <v>9</v>
      </c>
      <c r="D880">
        <v>3</v>
      </c>
      <c r="E880" t="s">
        <v>17</v>
      </c>
      <c r="F880" t="s">
        <v>12</v>
      </c>
      <c r="G880" t="s">
        <v>12</v>
      </c>
      <c r="H880">
        <v>1422</v>
      </c>
      <c r="I880">
        <v>9</v>
      </c>
      <c r="J880" t="s">
        <v>19</v>
      </c>
      <c r="K880" t="str">
        <f>IF(AND(credit[[#This Row],[Credit amount]]&gt;9000,credit[[#This Row],[Saving accounts]]="little"),"High","Low")</f>
        <v>Low</v>
      </c>
    </row>
    <row r="881" spans="1:11" x14ac:dyDescent="0.25">
      <c r="A881">
        <v>36</v>
      </c>
      <c r="B881" s="13" t="str" cm="1">
        <f t="array" ref="B881">_xlfn.IFS(credit[[#This Row],[Age]]&lt;=25,"18-25",credit[[#This Row],[Age]]&lt;=35,"26-35",credit[[#This Row],[Age]]&lt;=45,"36-45",credit[[#This Row],[Age]]&lt;=60,"46-60",TRUE,"60+")</f>
        <v>36-45</v>
      </c>
      <c r="C881" t="s">
        <v>9</v>
      </c>
      <c r="D881">
        <v>2</v>
      </c>
      <c r="E881" t="s">
        <v>10</v>
      </c>
      <c r="F881" t="s">
        <v>11</v>
      </c>
      <c r="G881" t="s">
        <v>11</v>
      </c>
      <c r="H881">
        <v>6742</v>
      </c>
      <c r="I881">
        <v>30</v>
      </c>
      <c r="J881" t="s">
        <v>13</v>
      </c>
      <c r="K881" t="str">
        <f>IF(AND(credit[[#This Row],[Credit amount]]&gt;9000,credit[[#This Row],[Saving accounts]]="little"),"High","Low")</f>
        <v>Low</v>
      </c>
    </row>
    <row r="882" spans="1:11" x14ac:dyDescent="0.25">
      <c r="A882">
        <v>38</v>
      </c>
      <c r="B882" s="13" t="str" cm="1">
        <f t="array" ref="B882">_xlfn.IFS(credit[[#This Row],[Age]]&lt;=25,"18-25",credit[[#This Row],[Age]]&lt;=35,"26-35",credit[[#This Row],[Age]]&lt;=45,"36-45",credit[[#This Row],[Age]]&lt;=60,"46-60",TRUE,"60+")</f>
        <v>36-45</v>
      </c>
      <c r="C882" t="s">
        <v>9</v>
      </c>
      <c r="D882">
        <v>3</v>
      </c>
      <c r="E882" t="s">
        <v>10</v>
      </c>
      <c r="F882" t="s">
        <v>12</v>
      </c>
      <c r="G882" t="s">
        <v>11</v>
      </c>
      <c r="H882">
        <v>7814</v>
      </c>
      <c r="I882">
        <v>24</v>
      </c>
      <c r="J882" t="s">
        <v>19</v>
      </c>
      <c r="K882" t="str">
        <f>IF(AND(credit[[#This Row],[Credit amount]]&gt;9000,credit[[#This Row],[Saving accounts]]="little"),"High","Low")</f>
        <v>Low</v>
      </c>
    </row>
    <row r="883" spans="1:11" x14ac:dyDescent="0.25">
      <c r="A883">
        <v>48</v>
      </c>
      <c r="B883" s="13" t="str" cm="1">
        <f t="array" ref="B883">_xlfn.IFS(credit[[#This Row],[Age]]&lt;=25,"18-25",credit[[#This Row],[Age]]&lt;=35,"26-35",credit[[#This Row],[Age]]&lt;=45,"36-45",credit[[#This Row],[Age]]&lt;=60,"46-60",TRUE,"60+")</f>
        <v>46-60</v>
      </c>
      <c r="C883" t="s">
        <v>9</v>
      </c>
      <c r="D883">
        <v>2</v>
      </c>
      <c r="E883" t="s">
        <v>17</v>
      </c>
      <c r="F883" t="s">
        <v>11</v>
      </c>
      <c r="G883" t="s">
        <v>11</v>
      </c>
      <c r="H883">
        <v>9277</v>
      </c>
      <c r="I883">
        <v>24</v>
      </c>
      <c r="J883" t="s">
        <v>19</v>
      </c>
      <c r="K883" t="str">
        <f>IF(AND(credit[[#This Row],[Credit amount]]&gt;9000,credit[[#This Row],[Saving accounts]]="little"),"High","Low")</f>
        <v>Low</v>
      </c>
    </row>
    <row r="884" spans="1:11" x14ac:dyDescent="0.25">
      <c r="A884">
        <v>36</v>
      </c>
      <c r="B884" s="13" t="str" cm="1">
        <f t="array" ref="B884">_xlfn.IFS(credit[[#This Row],[Age]]&lt;=25,"18-25",credit[[#This Row],[Age]]&lt;=35,"26-35",credit[[#This Row],[Age]]&lt;=45,"36-45",credit[[#This Row],[Age]]&lt;=60,"46-60",TRUE,"60+")</f>
        <v>36-45</v>
      </c>
      <c r="C884" t="s">
        <v>9</v>
      </c>
      <c r="D884">
        <v>2</v>
      </c>
      <c r="E884" t="s">
        <v>10</v>
      </c>
      <c r="F884" t="s">
        <v>11</v>
      </c>
      <c r="G884" t="s">
        <v>15</v>
      </c>
      <c r="H884">
        <v>2181</v>
      </c>
      <c r="I884">
        <v>30</v>
      </c>
      <c r="J884" t="s">
        <v>19</v>
      </c>
      <c r="K884" t="str">
        <f>IF(AND(credit[[#This Row],[Credit amount]]&gt;9000,credit[[#This Row],[Saving accounts]]="little"),"High","Low")</f>
        <v>Low</v>
      </c>
    </row>
    <row r="885" spans="1:11" x14ac:dyDescent="0.25">
      <c r="A885">
        <v>65</v>
      </c>
      <c r="B885" s="13" t="str" cm="1">
        <f t="array" ref="B885">_xlfn.IFS(credit[[#This Row],[Age]]&lt;=25,"18-25",credit[[#This Row],[Age]]&lt;=35,"26-35",credit[[#This Row],[Age]]&lt;=45,"36-45",credit[[#This Row],[Age]]&lt;=60,"46-60",TRUE,"60+")</f>
        <v>60+</v>
      </c>
      <c r="C885" t="s">
        <v>14</v>
      </c>
      <c r="D885">
        <v>0</v>
      </c>
      <c r="E885" t="s">
        <v>10</v>
      </c>
      <c r="F885" t="s">
        <v>12</v>
      </c>
      <c r="G885" t="s">
        <v>11</v>
      </c>
      <c r="H885">
        <v>1098</v>
      </c>
      <c r="I885">
        <v>18</v>
      </c>
      <c r="J885" t="s">
        <v>13</v>
      </c>
      <c r="K885" t="str">
        <f>IF(AND(credit[[#This Row],[Credit amount]]&gt;9000,credit[[#This Row],[Saving accounts]]="little"),"High","Low")</f>
        <v>Low</v>
      </c>
    </row>
    <row r="886" spans="1:11" x14ac:dyDescent="0.25">
      <c r="A886">
        <v>43</v>
      </c>
      <c r="B886" s="13" t="str" cm="1">
        <f t="array" ref="B886">_xlfn.IFS(credit[[#This Row],[Age]]&lt;=25,"18-25",credit[[#This Row],[Age]]&lt;=35,"26-35",credit[[#This Row],[Age]]&lt;=45,"36-45",credit[[#This Row],[Age]]&lt;=60,"46-60",TRUE,"60+")</f>
        <v>36-45</v>
      </c>
      <c r="C886" t="s">
        <v>9</v>
      </c>
      <c r="D886">
        <v>2</v>
      </c>
      <c r="E886" t="s">
        <v>10</v>
      </c>
      <c r="F886" t="s">
        <v>12</v>
      </c>
      <c r="G886" t="s">
        <v>15</v>
      </c>
      <c r="H886">
        <v>4057</v>
      </c>
      <c r="I886">
        <v>24</v>
      </c>
      <c r="J886" t="s">
        <v>18</v>
      </c>
      <c r="K886" t="str">
        <f>IF(AND(credit[[#This Row],[Credit amount]]&gt;9000,credit[[#This Row],[Saving accounts]]="little"),"High","Low")</f>
        <v>Low</v>
      </c>
    </row>
    <row r="887" spans="1:11" x14ac:dyDescent="0.25">
      <c r="A887">
        <v>53</v>
      </c>
      <c r="B887" s="13" t="str" cm="1">
        <f t="array" ref="B887">_xlfn.IFS(credit[[#This Row],[Age]]&lt;=25,"18-25",credit[[#This Row],[Age]]&lt;=35,"26-35",credit[[#This Row],[Age]]&lt;=45,"36-45",credit[[#This Row],[Age]]&lt;=60,"46-60",TRUE,"60+")</f>
        <v>46-60</v>
      </c>
      <c r="C887" t="s">
        <v>14</v>
      </c>
      <c r="D887">
        <v>2</v>
      </c>
      <c r="E887" t="s">
        <v>10</v>
      </c>
      <c r="F887" t="s">
        <v>12</v>
      </c>
      <c r="G887" t="s">
        <v>12</v>
      </c>
      <c r="H887">
        <v>795</v>
      </c>
      <c r="I887">
        <v>12</v>
      </c>
      <c r="J887" t="s">
        <v>16</v>
      </c>
      <c r="K887" t="str">
        <f>IF(AND(credit[[#This Row],[Credit amount]]&gt;9000,credit[[#This Row],[Saving accounts]]="little"),"High","Low")</f>
        <v>Low</v>
      </c>
    </row>
    <row r="888" spans="1:11" x14ac:dyDescent="0.25">
      <c r="A888">
        <v>34</v>
      </c>
      <c r="B888" s="13" t="str" cm="1">
        <f t="array" ref="B888">_xlfn.IFS(credit[[#This Row],[Age]]&lt;=25,"18-25",credit[[#This Row],[Age]]&lt;=35,"26-35",credit[[#This Row],[Age]]&lt;=45,"36-45",credit[[#This Row],[Age]]&lt;=60,"46-60",TRUE,"60+")</f>
        <v>26-35</v>
      </c>
      <c r="C888" t="s">
        <v>9</v>
      </c>
      <c r="D888">
        <v>2</v>
      </c>
      <c r="E888" t="s">
        <v>10</v>
      </c>
      <c r="F888" t="s">
        <v>11</v>
      </c>
      <c r="G888" t="s">
        <v>15</v>
      </c>
      <c r="H888">
        <v>2825</v>
      </c>
      <c r="I888">
        <v>24</v>
      </c>
      <c r="J888" t="s">
        <v>23</v>
      </c>
      <c r="K888" t="str">
        <f>IF(AND(credit[[#This Row],[Credit amount]]&gt;9000,credit[[#This Row],[Saving accounts]]="little"),"High","Low")</f>
        <v>Low</v>
      </c>
    </row>
    <row r="889" spans="1:11" x14ac:dyDescent="0.25">
      <c r="A889">
        <v>23</v>
      </c>
      <c r="B889" s="13" t="str" cm="1">
        <f t="array" ref="B889">_xlfn.IFS(credit[[#This Row],[Age]]&lt;=25,"18-25",credit[[#This Row],[Age]]&lt;=35,"26-35",credit[[#This Row],[Age]]&lt;=45,"36-45",credit[[#This Row],[Age]]&lt;=60,"46-60",TRUE,"60+")</f>
        <v>18-25</v>
      </c>
      <c r="C889" t="s">
        <v>9</v>
      </c>
      <c r="D889">
        <v>2</v>
      </c>
      <c r="E889" t="s">
        <v>10</v>
      </c>
      <c r="F889" t="s">
        <v>12</v>
      </c>
      <c r="G889" t="s">
        <v>15</v>
      </c>
      <c r="H889">
        <v>15672</v>
      </c>
      <c r="I889">
        <v>48</v>
      </c>
      <c r="J889" t="s">
        <v>23</v>
      </c>
      <c r="K889" t="str">
        <f>IF(AND(credit[[#This Row],[Credit amount]]&gt;9000,credit[[#This Row],[Saving accounts]]="little"),"High","Low")</f>
        <v>High</v>
      </c>
    </row>
    <row r="890" spans="1:11" x14ac:dyDescent="0.25">
      <c r="A890">
        <v>34</v>
      </c>
      <c r="B890" s="13" t="str" cm="1">
        <f t="array" ref="B890">_xlfn.IFS(credit[[#This Row],[Age]]&lt;=25,"18-25",credit[[#This Row],[Age]]&lt;=35,"26-35",credit[[#This Row],[Age]]&lt;=45,"36-45",credit[[#This Row],[Age]]&lt;=60,"46-60",TRUE,"60+")</f>
        <v>26-35</v>
      </c>
      <c r="C890" t="s">
        <v>9</v>
      </c>
      <c r="D890">
        <v>3</v>
      </c>
      <c r="E890" t="s">
        <v>10</v>
      </c>
      <c r="F890" t="s">
        <v>12</v>
      </c>
      <c r="G890" t="s">
        <v>11</v>
      </c>
      <c r="H890">
        <v>6614</v>
      </c>
      <c r="I890">
        <v>36</v>
      </c>
      <c r="J890" t="s">
        <v>19</v>
      </c>
      <c r="K890" t="str">
        <f>IF(AND(credit[[#This Row],[Credit amount]]&gt;9000,credit[[#This Row],[Saving accounts]]="little"),"High","Low")</f>
        <v>Low</v>
      </c>
    </row>
    <row r="891" spans="1:11" x14ac:dyDescent="0.25">
      <c r="A891">
        <v>40</v>
      </c>
      <c r="B891" s="13" t="str" cm="1">
        <f t="array" ref="B891">_xlfn.IFS(credit[[#This Row],[Age]]&lt;=25,"18-25",credit[[#This Row],[Age]]&lt;=35,"26-35",credit[[#This Row],[Age]]&lt;=45,"36-45",credit[[#This Row],[Age]]&lt;=60,"46-60",TRUE,"60+")</f>
        <v>36-45</v>
      </c>
      <c r="C891" t="s">
        <v>9</v>
      </c>
      <c r="D891">
        <v>2</v>
      </c>
      <c r="E891" t="s">
        <v>21</v>
      </c>
      <c r="F891" t="s">
        <v>11</v>
      </c>
      <c r="G891" t="s">
        <v>11</v>
      </c>
      <c r="H891">
        <v>7824</v>
      </c>
      <c r="I891">
        <v>28</v>
      </c>
      <c r="J891" t="s">
        <v>19</v>
      </c>
      <c r="K891" t="str">
        <f>IF(AND(credit[[#This Row],[Credit amount]]&gt;9000,credit[[#This Row],[Saving accounts]]="little"),"High","Low")</f>
        <v>Low</v>
      </c>
    </row>
    <row r="892" spans="1:11" x14ac:dyDescent="0.25">
      <c r="A892">
        <v>43</v>
      </c>
      <c r="B892" s="13" t="str" cm="1">
        <f t="array" ref="B892">_xlfn.IFS(credit[[#This Row],[Age]]&lt;=25,"18-25",credit[[#This Row],[Age]]&lt;=35,"26-35",credit[[#This Row],[Age]]&lt;=45,"36-45",credit[[#This Row],[Age]]&lt;=60,"46-60",TRUE,"60+")</f>
        <v>36-45</v>
      </c>
      <c r="C892" t="s">
        <v>9</v>
      </c>
      <c r="D892">
        <v>3</v>
      </c>
      <c r="E892" t="s">
        <v>10</v>
      </c>
      <c r="F892" t="s">
        <v>12</v>
      </c>
      <c r="G892" t="s">
        <v>12</v>
      </c>
      <c r="H892">
        <v>2442</v>
      </c>
      <c r="I892">
        <v>27</v>
      </c>
      <c r="J892" t="s">
        <v>23</v>
      </c>
      <c r="K892" t="str">
        <f>IF(AND(credit[[#This Row],[Credit amount]]&gt;9000,credit[[#This Row],[Saving accounts]]="little"),"High","Low")</f>
        <v>Low</v>
      </c>
    </row>
    <row r="893" spans="1:11" x14ac:dyDescent="0.25">
      <c r="A893">
        <v>46</v>
      </c>
      <c r="B893" s="13" t="str" cm="1">
        <f t="array" ref="B893">_xlfn.IFS(credit[[#This Row],[Age]]&lt;=25,"18-25",credit[[#This Row],[Age]]&lt;=35,"26-35",credit[[#This Row],[Age]]&lt;=45,"36-45",credit[[#This Row],[Age]]&lt;=60,"46-60",TRUE,"60+")</f>
        <v>46-60</v>
      </c>
      <c r="C893" t="s">
        <v>9</v>
      </c>
      <c r="D893">
        <v>2</v>
      </c>
      <c r="E893" t="s">
        <v>10</v>
      </c>
      <c r="F893" t="s">
        <v>12</v>
      </c>
      <c r="G893" t="s">
        <v>11</v>
      </c>
      <c r="H893">
        <v>1829</v>
      </c>
      <c r="I893">
        <v>15</v>
      </c>
      <c r="J893" t="s">
        <v>13</v>
      </c>
      <c r="K893" t="str">
        <f>IF(AND(credit[[#This Row],[Credit amount]]&gt;9000,credit[[#This Row],[Saving accounts]]="little"),"High","Low")</f>
        <v>Low</v>
      </c>
    </row>
    <row r="894" spans="1:11" x14ac:dyDescent="0.25">
      <c r="A894">
        <v>38</v>
      </c>
      <c r="B894" s="13" t="str" cm="1">
        <f t="array" ref="B894">_xlfn.IFS(credit[[#This Row],[Age]]&lt;=25,"18-25",credit[[#This Row],[Age]]&lt;=35,"26-35",credit[[#This Row],[Age]]&lt;=45,"36-45",credit[[#This Row],[Age]]&lt;=60,"46-60",TRUE,"60+")</f>
        <v>36-45</v>
      </c>
      <c r="C894" t="s">
        <v>9</v>
      </c>
      <c r="D894">
        <v>1</v>
      </c>
      <c r="E894" t="s">
        <v>10</v>
      </c>
      <c r="F894" t="s">
        <v>12</v>
      </c>
      <c r="G894" t="s">
        <v>12</v>
      </c>
      <c r="H894">
        <v>2171</v>
      </c>
      <c r="I894">
        <v>12</v>
      </c>
      <c r="J894" t="s">
        <v>19</v>
      </c>
      <c r="K894" t="str">
        <f>IF(AND(credit[[#This Row],[Credit amount]]&gt;9000,credit[[#This Row],[Saving accounts]]="little"),"High","Low")</f>
        <v>Low</v>
      </c>
    </row>
    <row r="895" spans="1:11" x14ac:dyDescent="0.25">
      <c r="A895">
        <v>34</v>
      </c>
      <c r="B895" s="13" t="str" cm="1">
        <f t="array" ref="B895">_xlfn.IFS(credit[[#This Row],[Age]]&lt;=25,"18-25",credit[[#This Row],[Age]]&lt;=35,"26-35",credit[[#This Row],[Age]]&lt;=45,"36-45",credit[[#This Row],[Age]]&lt;=60,"46-60",TRUE,"60+")</f>
        <v>26-35</v>
      </c>
      <c r="C895" t="s">
        <v>9</v>
      </c>
      <c r="D895">
        <v>2</v>
      </c>
      <c r="E895" t="s">
        <v>10</v>
      </c>
      <c r="F895" t="s">
        <v>12</v>
      </c>
      <c r="G895" t="s">
        <v>15</v>
      </c>
      <c r="H895">
        <v>5800</v>
      </c>
      <c r="I895">
        <v>36</v>
      </c>
      <c r="J895" t="s">
        <v>19</v>
      </c>
      <c r="K895" t="str">
        <f>IF(AND(credit[[#This Row],[Credit amount]]&gt;9000,credit[[#This Row],[Saving accounts]]="little"),"High","Low")</f>
        <v>Low</v>
      </c>
    </row>
    <row r="896" spans="1:11" x14ac:dyDescent="0.25">
      <c r="A896">
        <v>29</v>
      </c>
      <c r="B896" s="13" t="str" cm="1">
        <f t="array" ref="B896">_xlfn.IFS(credit[[#This Row],[Age]]&lt;=25,"18-25",credit[[#This Row],[Age]]&lt;=35,"26-35",credit[[#This Row],[Age]]&lt;=45,"36-45",credit[[#This Row],[Age]]&lt;=60,"46-60",TRUE,"60+")</f>
        <v>26-35</v>
      </c>
      <c r="C896" t="s">
        <v>9</v>
      </c>
      <c r="D896">
        <v>2</v>
      </c>
      <c r="E896" t="s">
        <v>10</v>
      </c>
      <c r="F896" t="s">
        <v>11</v>
      </c>
      <c r="G896" t="s">
        <v>11</v>
      </c>
      <c r="H896">
        <v>1169</v>
      </c>
      <c r="I896">
        <v>18</v>
      </c>
      <c r="J896" t="s">
        <v>13</v>
      </c>
      <c r="K896" t="str">
        <f>IF(AND(credit[[#This Row],[Credit amount]]&gt;9000,credit[[#This Row],[Saving accounts]]="little"),"High","Low")</f>
        <v>Low</v>
      </c>
    </row>
    <row r="897" spans="1:11" x14ac:dyDescent="0.25">
      <c r="A897">
        <v>31</v>
      </c>
      <c r="B897" s="13" t="str" cm="1">
        <f t="array" ref="B897">_xlfn.IFS(credit[[#This Row],[Age]]&lt;=25,"18-25",credit[[#This Row],[Age]]&lt;=35,"26-35",credit[[#This Row],[Age]]&lt;=45,"36-45",credit[[#This Row],[Age]]&lt;=60,"46-60",TRUE,"60+")</f>
        <v>26-35</v>
      </c>
      <c r="C897" t="s">
        <v>9</v>
      </c>
      <c r="D897">
        <v>3</v>
      </c>
      <c r="E897" t="s">
        <v>10</v>
      </c>
      <c r="F897" t="s">
        <v>11</v>
      </c>
      <c r="G897" t="s">
        <v>11</v>
      </c>
      <c r="H897">
        <v>8947</v>
      </c>
      <c r="I897">
        <v>36</v>
      </c>
      <c r="J897" t="s">
        <v>19</v>
      </c>
      <c r="K897" t="str">
        <f>IF(AND(credit[[#This Row],[Credit amount]]&gt;9000,credit[[#This Row],[Saving accounts]]="little"),"High","Low")</f>
        <v>Low</v>
      </c>
    </row>
    <row r="898" spans="1:11" x14ac:dyDescent="0.25">
      <c r="A898">
        <v>28</v>
      </c>
      <c r="B898" s="13" t="str" cm="1">
        <f t="array" ref="B898">_xlfn.IFS(credit[[#This Row],[Age]]&lt;=25,"18-25",credit[[#This Row],[Age]]&lt;=35,"26-35",credit[[#This Row],[Age]]&lt;=45,"36-45",credit[[#This Row],[Age]]&lt;=60,"46-60",TRUE,"60+")</f>
        <v>26-35</v>
      </c>
      <c r="C898" t="s">
        <v>14</v>
      </c>
      <c r="D898">
        <v>3</v>
      </c>
      <c r="E898" t="s">
        <v>21</v>
      </c>
      <c r="F898" t="s">
        <v>12</v>
      </c>
      <c r="G898" t="s">
        <v>12</v>
      </c>
      <c r="H898">
        <v>2606</v>
      </c>
      <c r="I898">
        <v>21</v>
      </c>
      <c r="J898" t="s">
        <v>13</v>
      </c>
      <c r="K898" t="str">
        <f>IF(AND(credit[[#This Row],[Credit amount]]&gt;9000,credit[[#This Row],[Saving accounts]]="little"),"High","Low")</f>
        <v>Low</v>
      </c>
    </row>
    <row r="899" spans="1:11" x14ac:dyDescent="0.25">
      <c r="A899">
        <v>35</v>
      </c>
      <c r="B899" s="13" t="str" cm="1">
        <f t="array" ref="B899">_xlfn.IFS(credit[[#This Row],[Age]]&lt;=25,"18-25",credit[[#This Row],[Age]]&lt;=35,"26-35",credit[[#This Row],[Age]]&lt;=45,"36-45",credit[[#This Row],[Age]]&lt;=60,"46-60",TRUE,"60+")</f>
        <v>26-35</v>
      </c>
      <c r="C899" t="s">
        <v>14</v>
      </c>
      <c r="D899">
        <v>2</v>
      </c>
      <c r="E899" t="s">
        <v>10</v>
      </c>
      <c r="F899" t="s">
        <v>22</v>
      </c>
      <c r="G899" t="s">
        <v>11</v>
      </c>
      <c r="H899">
        <v>1592</v>
      </c>
      <c r="I899">
        <v>12</v>
      </c>
      <c r="J899" t="s">
        <v>18</v>
      </c>
      <c r="K899" t="str">
        <f>IF(AND(credit[[#This Row],[Credit amount]]&gt;9000,credit[[#This Row],[Saving accounts]]="little"),"High","Low")</f>
        <v>Low</v>
      </c>
    </row>
    <row r="900" spans="1:11" x14ac:dyDescent="0.25">
      <c r="A900">
        <v>33</v>
      </c>
      <c r="B900" s="13" t="str" cm="1">
        <f t="array" ref="B900">_xlfn.IFS(credit[[#This Row],[Age]]&lt;=25,"18-25",credit[[#This Row],[Age]]&lt;=35,"26-35",credit[[#This Row],[Age]]&lt;=45,"36-45",credit[[#This Row],[Age]]&lt;=60,"46-60",TRUE,"60+")</f>
        <v>26-35</v>
      </c>
      <c r="C900" t="s">
        <v>14</v>
      </c>
      <c r="D900">
        <v>1</v>
      </c>
      <c r="E900" t="s">
        <v>21</v>
      </c>
      <c r="F900" t="s">
        <v>11</v>
      </c>
      <c r="G900" t="s">
        <v>11</v>
      </c>
      <c r="H900">
        <v>2186</v>
      </c>
      <c r="I900">
        <v>15</v>
      </c>
      <c r="J900" t="s">
        <v>18</v>
      </c>
      <c r="K900" t="str">
        <f>IF(AND(credit[[#This Row],[Credit amount]]&gt;9000,credit[[#This Row],[Saving accounts]]="little"),"High","Low")</f>
        <v>Low</v>
      </c>
    </row>
    <row r="901" spans="1:11" x14ac:dyDescent="0.25">
      <c r="A901">
        <v>42</v>
      </c>
      <c r="B901" s="13" t="str" cm="1">
        <f t="array" ref="B901">_xlfn.IFS(credit[[#This Row],[Age]]&lt;=25,"18-25",credit[[#This Row],[Age]]&lt;=35,"26-35",credit[[#This Row],[Age]]&lt;=45,"36-45",credit[[#This Row],[Age]]&lt;=60,"46-60",TRUE,"60+")</f>
        <v>36-45</v>
      </c>
      <c r="C901" t="s">
        <v>9</v>
      </c>
      <c r="D901">
        <v>2</v>
      </c>
      <c r="E901" t="s">
        <v>10</v>
      </c>
      <c r="F901" t="s">
        <v>12</v>
      </c>
      <c r="G901" t="s">
        <v>12</v>
      </c>
      <c r="H901">
        <v>4153</v>
      </c>
      <c r="I901">
        <v>18</v>
      </c>
      <c r="J901" t="s">
        <v>18</v>
      </c>
      <c r="K901" t="str">
        <f>IF(AND(credit[[#This Row],[Credit amount]]&gt;9000,credit[[#This Row],[Saving accounts]]="little"),"High","Low")</f>
        <v>Low</v>
      </c>
    </row>
    <row r="902" spans="1:11" x14ac:dyDescent="0.25">
      <c r="A902">
        <v>43</v>
      </c>
      <c r="B902" s="13" t="str" cm="1">
        <f t="array" ref="B902">_xlfn.IFS(credit[[#This Row],[Age]]&lt;=25,"18-25",credit[[#This Row],[Age]]&lt;=35,"26-35",credit[[#This Row],[Age]]&lt;=45,"36-45",credit[[#This Row],[Age]]&lt;=60,"46-60",TRUE,"60+")</f>
        <v>36-45</v>
      </c>
      <c r="C902" t="s">
        <v>9</v>
      </c>
      <c r="D902">
        <v>2</v>
      </c>
      <c r="E902" t="s">
        <v>21</v>
      </c>
      <c r="F902" t="s">
        <v>12</v>
      </c>
      <c r="G902" t="s">
        <v>12</v>
      </c>
      <c r="H902">
        <v>2625</v>
      </c>
      <c r="I902">
        <v>16</v>
      </c>
      <c r="J902" t="s">
        <v>19</v>
      </c>
      <c r="K902" t="str">
        <f>IF(AND(credit[[#This Row],[Credit amount]]&gt;9000,credit[[#This Row],[Saving accounts]]="little"),"High","Low")</f>
        <v>Low</v>
      </c>
    </row>
    <row r="903" spans="1:11" x14ac:dyDescent="0.25">
      <c r="A903">
        <v>44</v>
      </c>
      <c r="B903" s="13" t="str" cm="1">
        <f t="array" ref="B903">_xlfn.IFS(credit[[#This Row],[Age]]&lt;=25,"18-25",credit[[#This Row],[Age]]&lt;=35,"26-35",credit[[#This Row],[Age]]&lt;=45,"36-45",credit[[#This Row],[Age]]&lt;=60,"46-60",TRUE,"60+")</f>
        <v>36-45</v>
      </c>
      <c r="C903" t="s">
        <v>9</v>
      </c>
      <c r="D903">
        <v>2</v>
      </c>
      <c r="E903" t="s">
        <v>10</v>
      </c>
      <c r="F903" t="s">
        <v>11</v>
      </c>
      <c r="G903" t="s">
        <v>11</v>
      </c>
      <c r="H903">
        <v>3485</v>
      </c>
      <c r="I903">
        <v>20</v>
      </c>
      <c r="J903" t="s">
        <v>19</v>
      </c>
      <c r="K903" t="str">
        <f>IF(AND(credit[[#This Row],[Credit amount]]&gt;9000,credit[[#This Row],[Saving accounts]]="little"),"High","Low")</f>
        <v>Low</v>
      </c>
    </row>
    <row r="904" spans="1:11" x14ac:dyDescent="0.25">
      <c r="A904">
        <v>42</v>
      </c>
      <c r="B904" s="13" t="str" cm="1">
        <f t="array" ref="B904">_xlfn.IFS(credit[[#This Row],[Age]]&lt;=25,"18-25",credit[[#This Row],[Age]]&lt;=35,"26-35",credit[[#This Row],[Age]]&lt;=45,"36-45",credit[[#This Row],[Age]]&lt;=60,"46-60",TRUE,"60+")</f>
        <v>36-45</v>
      </c>
      <c r="C904" t="s">
        <v>9</v>
      </c>
      <c r="D904">
        <v>2</v>
      </c>
      <c r="E904" t="s">
        <v>17</v>
      </c>
      <c r="F904" t="s">
        <v>11</v>
      </c>
      <c r="G904" t="s">
        <v>11</v>
      </c>
      <c r="H904">
        <v>10477</v>
      </c>
      <c r="I904">
        <v>36</v>
      </c>
      <c r="J904" t="s">
        <v>19</v>
      </c>
      <c r="K904" t="str">
        <f>IF(AND(credit[[#This Row],[Credit amount]]&gt;9000,credit[[#This Row],[Saving accounts]]="little"),"High","Low")</f>
        <v>Low</v>
      </c>
    </row>
    <row r="905" spans="1:11" x14ac:dyDescent="0.25">
      <c r="A905">
        <v>40</v>
      </c>
      <c r="B905" s="13" t="str" cm="1">
        <f t="array" ref="B905">_xlfn.IFS(credit[[#This Row],[Age]]&lt;=25,"18-25",credit[[#This Row],[Age]]&lt;=35,"26-35",credit[[#This Row],[Age]]&lt;=45,"36-45",credit[[#This Row],[Age]]&lt;=60,"46-60",TRUE,"60+")</f>
        <v>36-45</v>
      </c>
      <c r="C905" t="s">
        <v>9</v>
      </c>
      <c r="D905">
        <v>2</v>
      </c>
      <c r="E905" t="s">
        <v>21</v>
      </c>
      <c r="F905" t="s">
        <v>11</v>
      </c>
      <c r="G905" t="s">
        <v>11</v>
      </c>
      <c r="H905">
        <v>1386</v>
      </c>
      <c r="I905">
        <v>15</v>
      </c>
      <c r="J905" t="s">
        <v>13</v>
      </c>
      <c r="K905" t="str">
        <f>IF(AND(credit[[#This Row],[Credit amount]]&gt;9000,credit[[#This Row],[Saving accounts]]="little"),"High","Low")</f>
        <v>Low</v>
      </c>
    </row>
    <row r="906" spans="1:11" x14ac:dyDescent="0.25">
      <c r="A906">
        <v>36</v>
      </c>
      <c r="B906" s="13" t="str" cm="1">
        <f t="array" ref="B906">_xlfn.IFS(credit[[#This Row],[Age]]&lt;=25,"18-25",credit[[#This Row],[Age]]&lt;=35,"26-35",credit[[#This Row],[Age]]&lt;=45,"36-45",credit[[#This Row],[Age]]&lt;=60,"46-60",TRUE,"60+")</f>
        <v>36-45</v>
      </c>
      <c r="C906" t="s">
        <v>9</v>
      </c>
      <c r="D906">
        <v>3</v>
      </c>
      <c r="E906" t="s">
        <v>10</v>
      </c>
      <c r="F906" t="s">
        <v>12</v>
      </c>
      <c r="G906" t="s">
        <v>11</v>
      </c>
      <c r="H906">
        <v>1278</v>
      </c>
      <c r="I906">
        <v>24</v>
      </c>
      <c r="J906" t="s">
        <v>13</v>
      </c>
      <c r="K906" t="str">
        <f>IF(AND(credit[[#This Row],[Credit amount]]&gt;9000,credit[[#This Row],[Saving accounts]]="little"),"High","Low")</f>
        <v>Low</v>
      </c>
    </row>
    <row r="907" spans="1:11" x14ac:dyDescent="0.25">
      <c r="A907">
        <v>20</v>
      </c>
      <c r="B907" s="13" t="str" cm="1">
        <f t="array" ref="B907">_xlfn.IFS(credit[[#This Row],[Age]]&lt;=25,"18-25",credit[[#This Row],[Age]]&lt;=35,"26-35",credit[[#This Row],[Age]]&lt;=45,"36-45",credit[[#This Row],[Age]]&lt;=60,"46-60",TRUE,"60+")</f>
        <v>18-25</v>
      </c>
      <c r="C907" t="s">
        <v>9</v>
      </c>
      <c r="D907">
        <v>3</v>
      </c>
      <c r="E907" t="s">
        <v>21</v>
      </c>
      <c r="F907" t="s">
        <v>12</v>
      </c>
      <c r="G907" t="s">
        <v>12</v>
      </c>
      <c r="H907">
        <v>1107</v>
      </c>
      <c r="I907">
        <v>12</v>
      </c>
      <c r="J907" t="s">
        <v>13</v>
      </c>
      <c r="K907" t="str">
        <f>IF(AND(credit[[#This Row],[Credit amount]]&gt;9000,credit[[#This Row],[Saving accounts]]="little"),"High","Low")</f>
        <v>Low</v>
      </c>
    </row>
    <row r="908" spans="1:11" x14ac:dyDescent="0.25">
      <c r="A908">
        <v>24</v>
      </c>
      <c r="B908" s="13" t="str" cm="1">
        <f t="array" ref="B908">_xlfn.IFS(credit[[#This Row],[Age]]&lt;=25,"18-25",credit[[#This Row],[Age]]&lt;=35,"26-35",credit[[#This Row],[Age]]&lt;=45,"36-45",credit[[#This Row],[Age]]&lt;=60,"46-60",TRUE,"60+")</f>
        <v>18-25</v>
      </c>
      <c r="C908" t="s">
        <v>9</v>
      </c>
      <c r="D908">
        <v>1</v>
      </c>
      <c r="E908" t="s">
        <v>10</v>
      </c>
      <c r="F908" t="s">
        <v>11</v>
      </c>
      <c r="G908" t="s">
        <v>12</v>
      </c>
      <c r="H908">
        <v>3763</v>
      </c>
      <c r="I908">
        <v>21</v>
      </c>
      <c r="J908" t="s">
        <v>19</v>
      </c>
      <c r="K908" t="str">
        <f>IF(AND(credit[[#This Row],[Credit amount]]&gt;9000,credit[[#This Row],[Saving accounts]]="little"),"High","Low")</f>
        <v>Low</v>
      </c>
    </row>
    <row r="909" spans="1:11" x14ac:dyDescent="0.25">
      <c r="A909">
        <v>27</v>
      </c>
      <c r="B909" s="13" t="str" cm="1">
        <f t="array" ref="B909">_xlfn.IFS(credit[[#This Row],[Age]]&lt;=25,"18-25",credit[[#This Row],[Age]]&lt;=35,"26-35",credit[[#This Row],[Age]]&lt;=45,"36-45",credit[[#This Row],[Age]]&lt;=60,"46-60",TRUE,"60+")</f>
        <v>26-35</v>
      </c>
      <c r="C909" t="s">
        <v>9</v>
      </c>
      <c r="D909">
        <v>2</v>
      </c>
      <c r="E909" t="s">
        <v>10</v>
      </c>
      <c r="F909" t="s">
        <v>11</v>
      </c>
      <c r="G909" t="s">
        <v>15</v>
      </c>
      <c r="H909">
        <v>3711</v>
      </c>
      <c r="I909">
        <v>36</v>
      </c>
      <c r="J909" t="s">
        <v>16</v>
      </c>
      <c r="K909" t="str">
        <f>IF(AND(credit[[#This Row],[Credit amount]]&gt;9000,credit[[#This Row],[Saving accounts]]="little"),"High","Low")</f>
        <v>Low</v>
      </c>
    </row>
    <row r="910" spans="1:11" x14ac:dyDescent="0.25">
      <c r="A910">
        <v>46</v>
      </c>
      <c r="B910" s="13" t="str" cm="1">
        <f t="array" ref="B910">_xlfn.IFS(credit[[#This Row],[Age]]&lt;=25,"18-25",credit[[#This Row],[Age]]&lt;=35,"26-35",credit[[#This Row],[Age]]&lt;=45,"36-45",credit[[#This Row],[Age]]&lt;=60,"46-60",TRUE,"60+")</f>
        <v>46-60</v>
      </c>
      <c r="C910" t="s">
        <v>14</v>
      </c>
      <c r="D910">
        <v>1</v>
      </c>
      <c r="E910" t="s">
        <v>10</v>
      </c>
      <c r="F910" t="s">
        <v>12</v>
      </c>
      <c r="G910" t="s">
        <v>11</v>
      </c>
      <c r="H910">
        <v>3594</v>
      </c>
      <c r="I910">
        <v>15</v>
      </c>
      <c r="J910" t="s">
        <v>19</v>
      </c>
      <c r="K910" t="str">
        <f>IF(AND(credit[[#This Row],[Credit amount]]&gt;9000,credit[[#This Row],[Saving accounts]]="little"),"High","Low")</f>
        <v>Low</v>
      </c>
    </row>
    <row r="911" spans="1:11" x14ac:dyDescent="0.25">
      <c r="A911">
        <v>33</v>
      </c>
      <c r="B911" s="13" t="str" cm="1">
        <f t="array" ref="B911">_xlfn.IFS(credit[[#This Row],[Age]]&lt;=25,"18-25",credit[[#This Row],[Age]]&lt;=35,"26-35",credit[[#This Row],[Age]]&lt;=45,"36-45",credit[[#This Row],[Age]]&lt;=60,"46-60",TRUE,"60+")</f>
        <v>26-35</v>
      </c>
      <c r="C911" t="s">
        <v>14</v>
      </c>
      <c r="D911">
        <v>1</v>
      </c>
      <c r="E911" t="s">
        <v>10</v>
      </c>
      <c r="F911" t="s">
        <v>11</v>
      </c>
      <c r="G911" t="s">
        <v>15</v>
      </c>
      <c r="H911">
        <v>3195</v>
      </c>
      <c r="I911">
        <v>9</v>
      </c>
      <c r="J911" t="s">
        <v>19</v>
      </c>
      <c r="K911" t="str">
        <f>IF(AND(credit[[#This Row],[Credit amount]]&gt;9000,credit[[#This Row],[Saving accounts]]="little"),"High","Low")</f>
        <v>Low</v>
      </c>
    </row>
    <row r="912" spans="1:11" x14ac:dyDescent="0.25">
      <c r="A912">
        <v>34</v>
      </c>
      <c r="B912" s="13" t="str" cm="1">
        <f t="array" ref="B912">_xlfn.IFS(credit[[#This Row],[Age]]&lt;=25,"18-25",credit[[#This Row],[Age]]&lt;=35,"26-35",credit[[#This Row],[Age]]&lt;=45,"36-45",credit[[#This Row],[Age]]&lt;=60,"46-60",TRUE,"60+")</f>
        <v>26-35</v>
      </c>
      <c r="C912" t="s">
        <v>14</v>
      </c>
      <c r="D912">
        <v>2</v>
      </c>
      <c r="E912" t="s">
        <v>10</v>
      </c>
      <c r="F912" t="s">
        <v>12</v>
      </c>
      <c r="G912" t="s">
        <v>11</v>
      </c>
      <c r="H912">
        <v>4454</v>
      </c>
      <c r="I912">
        <v>36</v>
      </c>
      <c r="J912" t="s">
        <v>13</v>
      </c>
      <c r="K912" t="str">
        <f>IF(AND(credit[[#This Row],[Credit amount]]&gt;9000,credit[[#This Row],[Saving accounts]]="little"),"High","Low")</f>
        <v>Low</v>
      </c>
    </row>
    <row r="913" spans="1:11" x14ac:dyDescent="0.25">
      <c r="A913">
        <v>25</v>
      </c>
      <c r="B913" s="13" t="str" cm="1">
        <f t="array" ref="B913">_xlfn.IFS(credit[[#This Row],[Age]]&lt;=25,"18-25",credit[[#This Row],[Age]]&lt;=35,"26-35",credit[[#This Row],[Age]]&lt;=45,"36-45",credit[[#This Row],[Age]]&lt;=60,"46-60",TRUE,"60+")</f>
        <v>18-25</v>
      </c>
      <c r="C913" t="s">
        <v>14</v>
      </c>
      <c r="D913">
        <v>1</v>
      </c>
      <c r="E913" t="s">
        <v>10</v>
      </c>
      <c r="F913" t="s">
        <v>12</v>
      </c>
      <c r="G913" t="s">
        <v>15</v>
      </c>
      <c r="H913">
        <v>4736</v>
      </c>
      <c r="I913">
        <v>24</v>
      </c>
      <c r="J913" t="s">
        <v>18</v>
      </c>
      <c r="K913" t="str">
        <f>IF(AND(credit[[#This Row],[Credit amount]]&gt;9000,credit[[#This Row],[Saving accounts]]="little"),"High","Low")</f>
        <v>Low</v>
      </c>
    </row>
    <row r="914" spans="1:11" x14ac:dyDescent="0.25">
      <c r="A914">
        <v>25</v>
      </c>
      <c r="B914" s="13" t="str" cm="1">
        <f t="array" ref="B914">_xlfn.IFS(credit[[#This Row],[Age]]&lt;=25,"18-25",credit[[#This Row],[Age]]&lt;=35,"26-35",credit[[#This Row],[Age]]&lt;=45,"36-45",credit[[#This Row],[Age]]&lt;=60,"46-60",TRUE,"60+")</f>
        <v>18-25</v>
      </c>
      <c r="C914" t="s">
        <v>14</v>
      </c>
      <c r="D914">
        <v>2</v>
      </c>
      <c r="E914" t="s">
        <v>10</v>
      </c>
      <c r="F914" t="s">
        <v>11</v>
      </c>
      <c r="G914" t="s">
        <v>15</v>
      </c>
      <c r="H914">
        <v>2991</v>
      </c>
      <c r="I914">
        <v>30</v>
      </c>
      <c r="J914" t="s">
        <v>13</v>
      </c>
      <c r="K914" t="str">
        <f>IF(AND(credit[[#This Row],[Credit amount]]&gt;9000,credit[[#This Row],[Saving accounts]]="little"),"High","Low")</f>
        <v>Low</v>
      </c>
    </row>
    <row r="915" spans="1:11" x14ac:dyDescent="0.25">
      <c r="A915">
        <v>28</v>
      </c>
      <c r="B915" s="13" t="str" cm="1">
        <f t="array" ref="B915">_xlfn.IFS(credit[[#This Row],[Age]]&lt;=25,"18-25",credit[[#This Row],[Age]]&lt;=35,"26-35",credit[[#This Row],[Age]]&lt;=45,"36-45",credit[[#This Row],[Age]]&lt;=60,"46-60",TRUE,"60+")</f>
        <v>26-35</v>
      </c>
      <c r="C915" t="s">
        <v>9</v>
      </c>
      <c r="D915">
        <v>2</v>
      </c>
      <c r="E915" t="s">
        <v>10</v>
      </c>
      <c r="F915" t="s">
        <v>22</v>
      </c>
      <c r="G915" t="s">
        <v>11</v>
      </c>
      <c r="H915">
        <v>2142</v>
      </c>
      <c r="I915">
        <v>11</v>
      </c>
      <c r="J915" t="s">
        <v>23</v>
      </c>
      <c r="K915" t="str">
        <f>IF(AND(credit[[#This Row],[Credit amount]]&gt;9000,credit[[#This Row],[Saving accounts]]="little"),"High","Low")</f>
        <v>Low</v>
      </c>
    </row>
    <row r="916" spans="1:11" x14ac:dyDescent="0.25">
      <c r="A916">
        <v>31</v>
      </c>
      <c r="B916" s="13" t="str" cm="1">
        <f t="array" ref="B916">_xlfn.IFS(credit[[#This Row],[Age]]&lt;=25,"18-25",credit[[#This Row],[Age]]&lt;=35,"26-35",credit[[#This Row],[Age]]&lt;=45,"36-45",credit[[#This Row],[Age]]&lt;=60,"46-60",TRUE,"60+")</f>
        <v>26-35</v>
      </c>
      <c r="C916" t="s">
        <v>9</v>
      </c>
      <c r="D916">
        <v>2</v>
      </c>
      <c r="E916" t="s">
        <v>21</v>
      </c>
      <c r="F916" t="s">
        <v>12</v>
      </c>
      <c r="G916" t="s">
        <v>12</v>
      </c>
      <c r="H916">
        <v>3161</v>
      </c>
      <c r="I916">
        <v>24</v>
      </c>
      <c r="J916" t="s">
        <v>23</v>
      </c>
      <c r="K916" t="str">
        <f>IF(AND(credit[[#This Row],[Credit amount]]&gt;9000,credit[[#This Row],[Saving accounts]]="little"),"High","Low")</f>
        <v>Low</v>
      </c>
    </row>
    <row r="917" spans="1:11" x14ac:dyDescent="0.25">
      <c r="A917">
        <v>32</v>
      </c>
      <c r="B917" s="13" t="str" cm="1">
        <f t="array" ref="B917">_xlfn.IFS(credit[[#This Row],[Age]]&lt;=25,"18-25",credit[[#This Row],[Age]]&lt;=35,"26-35",credit[[#This Row],[Age]]&lt;=45,"36-45",credit[[#This Row],[Age]]&lt;=60,"46-60",TRUE,"60+")</f>
        <v>26-35</v>
      </c>
      <c r="C917" t="s">
        <v>14</v>
      </c>
      <c r="D917">
        <v>3</v>
      </c>
      <c r="E917" t="s">
        <v>10</v>
      </c>
      <c r="F917" t="s">
        <v>12</v>
      </c>
      <c r="G917" t="s">
        <v>15</v>
      </c>
      <c r="H917">
        <v>18424</v>
      </c>
      <c r="I917">
        <v>48</v>
      </c>
      <c r="J917" t="s">
        <v>26</v>
      </c>
      <c r="K917" t="str">
        <f>IF(AND(credit[[#This Row],[Credit amount]]&gt;9000,credit[[#This Row],[Saving accounts]]="little"),"High","Low")</f>
        <v>High</v>
      </c>
    </row>
    <row r="918" spans="1:11" x14ac:dyDescent="0.25">
      <c r="A918">
        <v>32</v>
      </c>
      <c r="B918" s="13" t="str" cm="1">
        <f t="array" ref="B918">_xlfn.IFS(credit[[#This Row],[Age]]&lt;=25,"18-25",credit[[#This Row],[Age]]&lt;=35,"26-35",credit[[#This Row],[Age]]&lt;=45,"36-45",credit[[#This Row],[Age]]&lt;=60,"46-60",TRUE,"60+")</f>
        <v>26-35</v>
      </c>
      <c r="C918" t="s">
        <v>9</v>
      </c>
      <c r="D918">
        <v>2</v>
      </c>
      <c r="E918" t="s">
        <v>10</v>
      </c>
      <c r="F918" t="s">
        <v>15</v>
      </c>
      <c r="G918" t="s">
        <v>11</v>
      </c>
      <c r="H918">
        <v>2848</v>
      </c>
      <c r="I918">
        <v>10</v>
      </c>
      <c r="J918" t="s">
        <v>19</v>
      </c>
      <c r="K918" t="str">
        <f>IF(AND(credit[[#This Row],[Credit amount]]&gt;9000,credit[[#This Row],[Saving accounts]]="little"),"High","Low")</f>
        <v>Low</v>
      </c>
    </row>
    <row r="919" spans="1:11" x14ac:dyDescent="0.25">
      <c r="A919">
        <v>68</v>
      </c>
      <c r="B919" s="13" t="str" cm="1">
        <f t="array" ref="B919">_xlfn.IFS(credit[[#This Row],[Age]]&lt;=25,"18-25",credit[[#This Row],[Age]]&lt;=35,"26-35",credit[[#This Row],[Age]]&lt;=45,"36-45",credit[[#This Row],[Age]]&lt;=60,"46-60",TRUE,"60+")</f>
        <v>60+</v>
      </c>
      <c r="C919" t="s">
        <v>9</v>
      </c>
      <c r="D919">
        <v>3</v>
      </c>
      <c r="E919" t="s">
        <v>10</v>
      </c>
      <c r="F919" t="s">
        <v>12</v>
      </c>
      <c r="G919" t="s">
        <v>12</v>
      </c>
      <c r="H919">
        <v>14896</v>
      </c>
      <c r="I919">
        <v>6</v>
      </c>
      <c r="J919" t="s">
        <v>19</v>
      </c>
      <c r="K919" t="str">
        <f>IF(AND(credit[[#This Row],[Credit amount]]&gt;9000,credit[[#This Row],[Saving accounts]]="little"),"High","Low")</f>
        <v>High</v>
      </c>
    </row>
    <row r="920" spans="1:11" x14ac:dyDescent="0.25">
      <c r="A920">
        <v>33</v>
      </c>
      <c r="B920" s="13" t="str" cm="1">
        <f t="array" ref="B920">_xlfn.IFS(credit[[#This Row],[Age]]&lt;=25,"18-25",credit[[#This Row],[Age]]&lt;=35,"26-35",credit[[#This Row],[Age]]&lt;=45,"36-45",credit[[#This Row],[Age]]&lt;=60,"46-60",TRUE,"60+")</f>
        <v>26-35</v>
      </c>
      <c r="C920" t="s">
        <v>9</v>
      </c>
      <c r="D920">
        <v>2</v>
      </c>
      <c r="E920" t="s">
        <v>10</v>
      </c>
      <c r="F920" t="s">
        <v>15</v>
      </c>
      <c r="G920" t="s">
        <v>12</v>
      </c>
      <c r="H920">
        <v>2359</v>
      </c>
      <c r="I920">
        <v>24</v>
      </c>
      <c r="J920" t="s">
        <v>18</v>
      </c>
      <c r="K920" t="str">
        <f>IF(AND(credit[[#This Row],[Credit amount]]&gt;9000,credit[[#This Row],[Saving accounts]]="little"),"High","Low")</f>
        <v>Low</v>
      </c>
    </row>
    <row r="921" spans="1:11" x14ac:dyDescent="0.25">
      <c r="A921">
        <v>39</v>
      </c>
      <c r="B921" s="13" t="str" cm="1">
        <f t="array" ref="B921">_xlfn.IFS(credit[[#This Row],[Age]]&lt;=25,"18-25",credit[[#This Row],[Age]]&lt;=35,"26-35",credit[[#This Row],[Age]]&lt;=45,"36-45",credit[[#This Row],[Age]]&lt;=60,"46-60",TRUE,"60+")</f>
        <v>36-45</v>
      </c>
      <c r="C921" t="s">
        <v>9</v>
      </c>
      <c r="D921">
        <v>3</v>
      </c>
      <c r="E921" t="s">
        <v>21</v>
      </c>
      <c r="F921" t="s">
        <v>12</v>
      </c>
      <c r="G921" t="s">
        <v>12</v>
      </c>
      <c r="H921">
        <v>3345</v>
      </c>
      <c r="I921">
        <v>24</v>
      </c>
      <c r="J921" t="s">
        <v>18</v>
      </c>
      <c r="K921" t="str">
        <f>IF(AND(credit[[#This Row],[Credit amount]]&gt;9000,credit[[#This Row],[Saving accounts]]="little"),"High","Low")</f>
        <v>Low</v>
      </c>
    </row>
    <row r="922" spans="1:11" x14ac:dyDescent="0.25">
      <c r="A922">
        <v>28</v>
      </c>
      <c r="B922" s="13" t="str" cm="1">
        <f t="array" ref="B922">_xlfn.IFS(credit[[#This Row],[Age]]&lt;=25,"18-25",credit[[#This Row],[Age]]&lt;=35,"26-35",credit[[#This Row],[Age]]&lt;=45,"36-45",credit[[#This Row],[Age]]&lt;=60,"46-60",TRUE,"60+")</f>
        <v>26-35</v>
      </c>
      <c r="C922" t="s">
        <v>14</v>
      </c>
      <c r="D922">
        <v>2</v>
      </c>
      <c r="E922" t="s">
        <v>10</v>
      </c>
      <c r="F922" t="s">
        <v>12</v>
      </c>
      <c r="G922" t="s">
        <v>11</v>
      </c>
      <c r="H922">
        <v>1817</v>
      </c>
      <c r="I922">
        <v>18</v>
      </c>
      <c r="J922" t="s">
        <v>18</v>
      </c>
      <c r="K922" t="str">
        <f>IF(AND(credit[[#This Row],[Credit amount]]&gt;9000,credit[[#This Row],[Saving accounts]]="little"),"High","Low")</f>
        <v>Low</v>
      </c>
    </row>
    <row r="923" spans="1:11" x14ac:dyDescent="0.25">
      <c r="A923">
        <v>37</v>
      </c>
      <c r="B923" s="13" t="str" cm="1">
        <f t="array" ref="B923">_xlfn.IFS(credit[[#This Row],[Age]]&lt;=25,"18-25",credit[[#This Row],[Age]]&lt;=35,"26-35",credit[[#This Row],[Age]]&lt;=45,"36-45",credit[[#This Row],[Age]]&lt;=60,"46-60",TRUE,"60+")</f>
        <v>36-45</v>
      </c>
      <c r="C923" t="s">
        <v>9</v>
      </c>
      <c r="D923">
        <v>3</v>
      </c>
      <c r="E923" t="s">
        <v>10</v>
      </c>
      <c r="F923" t="s">
        <v>20</v>
      </c>
      <c r="G923" t="s">
        <v>11</v>
      </c>
      <c r="H923">
        <v>12749</v>
      </c>
      <c r="I923">
        <v>48</v>
      </c>
      <c r="J923" t="s">
        <v>13</v>
      </c>
      <c r="K923" t="str">
        <f>IF(AND(credit[[#This Row],[Credit amount]]&gt;9000,credit[[#This Row],[Saving accounts]]="little"),"High","Low")</f>
        <v>Low</v>
      </c>
    </row>
    <row r="924" spans="1:11" x14ac:dyDescent="0.25">
      <c r="A924">
        <v>22</v>
      </c>
      <c r="B924" s="13" t="str" cm="1">
        <f t="array" ref="B924">_xlfn.IFS(credit[[#This Row],[Age]]&lt;=25,"18-25",credit[[#This Row],[Age]]&lt;=35,"26-35",credit[[#This Row],[Age]]&lt;=45,"36-45",credit[[#This Row],[Age]]&lt;=60,"46-60",TRUE,"60+")</f>
        <v>18-25</v>
      </c>
      <c r="C924" t="s">
        <v>14</v>
      </c>
      <c r="D924">
        <v>2</v>
      </c>
      <c r="E924" t="s">
        <v>21</v>
      </c>
      <c r="F924" t="s">
        <v>12</v>
      </c>
      <c r="G924" t="s">
        <v>12</v>
      </c>
      <c r="H924">
        <v>1366</v>
      </c>
      <c r="I924">
        <v>9</v>
      </c>
      <c r="J924" t="s">
        <v>13</v>
      </c>
      <c r="K924" t="str">
        <f>IF(AND(credit[[#This Row],[Credit amount]]&gt;9000,credit[[#This Row],[Saving accounts]]="little"),"High","Low")</f>
        <v>Low</v>
      </c>
    </row>
    <row r="925" spans="1:11" x14ac:dyDescent="0.25">
      <c r="A925">
        <v>30</v>
      </c>
      <c r="B925" s="13" t="str" cm="1">
        <f t="array" ref="B925">_xlfn.IFS(credit[[#This Row],[Age]]&lt;=25,"18-25",credit[[#This Row],[Age]]&lt;=35,"26-35",credit[[#This Row],[Age]]&lt;=45,"36-45",credit[[#This Row],[Age]]&lt;=60,"46-60",TRUE,"60+")</f>
        <v>26-35</v>
      </c>
      <c r="C925" t="s">
        <v>9</v>
      </c>
      <c r="D925">
        <v>2</v>
      </c>
      <c r="E925" t="s">
        <v>21</v>
      </c>
      <c r="F925" t="s">
        <v>12</v>
      </c>
      <c r="G925" t="s">
        <v>15</v>
      </c>
      <c r="H925">
        <v>2002</v>
      </c>
      <c r="I925">
        <v>12</v>
      </c>
      <c r="J925" t="s">
        <v>19</v>
      </c>
      <c r="K925" t="str">
        <f>IF(AND(credit[[#This Row],[Credit amount]]&gt;9000,credit[[#This Row],[Saving accounts]]="little"),"High","Low")</f>
        <v>Low</v>
      </c>
    </row>
    <row r="926" spans="1:11" x14ac:dyDescent="0.25">
      <c r="A926">
        <v>55</v>
      </c>
      <c r="B926" s="13" t="str" cm="1">
        <f t="array" ref="B926">_xlfn.IFS(credit[[#This Row],[Age]]&lt;=25,"18-25",credit[[#This Row],[Age]]&lt;=35,"26-35",credit[[#This Row],[Age]]&lt;=45,"36-45",credit[[#This Row],[Age]]&lt;=60,"46-60",TRUE,"60+")</f>
        <v>46-60</v>
      </c>
      <c r="C926" t="s">
        <v>9</v>
      </c>
      <c r="D926">
        <v>2</v>
      </c>
      <c r="E926" t="s">
        <v>10</v>
      </c>
      <c r="F926" t="s">
        <v>12</v>
      </c>
      <c r="G926" t="s">
        <v>12</v>
      </c>
      <c r="H926">
        <v>6872</v>
      </c>
      <c r="I926">
        <v>24</v>
      </c>
      <c r="J926" t="s">
        <v>18</v>
      </c>
      <c r="K926" t="str">
        <f>IF(AND(credit[[#This Row],[Credit amount]]&gt;9000,credit[[#This Row],[Saving accounts]]="little"),"High","Low")</f>
        <v>Low</v>
      </c>
    </row>
    <row r="927" spans="1:11" x14ac:dyDescent="0.25">
      <c r="A927">
        <v>46</v>
      </c>
      <c r="B927" s="13" t="str" cm="1">
        <f t="array" ref="B927">_xlfn.IFS(credit[[#This Row],[Age]]&lt;=25,"18-25",credit[[#This Row],[Age]]&lt;=35,"26-35",credit[[#This Row],[Age]]&lt;=45,"36-45",credit[[#This Row],[Age]]&lt;=60,"46-60",TRUE,"60+")</f>
        <v>46-60</v>
      </c>
      <c r="C927" t="s">
        <v>9</v>
      </c>
      <c r="D927">
        <v>2</v>
      </c>
      <c r="E927" t="s">
        <v>10</v>
      </c>
      <c r="F927" t="s">
        <v>12</v>
      </c>
      <c r="G927" t="s">
        <v>12</v>
      </c>
      <c r="H927">
        <v>697</v>
      </c>
      <c r="I927">
        <v>12</v>
      </c>
      <c r="J927" t="s">
        <v>19</v>
      </c>
      <c r="K927" t="str">
        <f>IF(AND(credit[[#This Row],[Credit amount]]&gt;9000,credit[[#This Row],[Saving accounts]]="little"),"High","Low")</f>
        <v>Low</v>
      </c>
    </row>
    <row r="928" spans="1:11" x14ac:dyDescent="0.25">
      <c r="A928">
        <v>21</v>
      </c>
      <c r="B928" s="13" t="str" cm="1">
        <f t="array" ref="B928">_xlfn.IFS(credit[[#This Row],[Age]]&lt;=25,"18-25",credit[[#This Row],[Age]]&lt;=35,"26-35",credit[[#This Row],[Age]]&lt;=45,"36-45",credit[[#This Row],[Age]]&lt;=60,"46-60",TRUE,"60+")</f>
        <v>18-25</v>
      </c>
      <c r="C928" t="s">
        <v>14</v>
      </c>
      <c r="D928">
        <v>2</v>
      </c>
      <c r="E928" t="s">
        <v>21</v>
      </c>
      <c r="F928" t="s">
        <v>12</v>
      </c>
      <c r="G928" t="s">
        <v>12</v>
      </c>
      <c r="H928">
        <v>1049</v>
      </c>
      <c r="I928">
        <v>18</v>
      </c>
      <c r="J928" t="s">
        <v>18</v>
      </c>
      <c r="K928" t="str">
        <f>IF(AND(credit[[#This Row],[Credit amount]]&gt;9000,credit[[#This Row],[Saving accounts]]="little"),"High","Low")</f>
        <v>Low</v>
      </c>
    </row>
    <row r="929" spans="1:11" x14ac:dyDescent="0.25">
      <c r="A929">
        <v>39</v>
      </c>
      <c r="B929" s="13" t="str" cm="1">
        <f t="array" ref="B929">_xlfn.IFS(credit[[#This Row],[Age]]&lt;=25,"18-25",credit[[#This Row],[Age]]&lt;=35,"26-35",credit[[#This Row],[Age]]&lt;=45,"36-45",credit[[#This Row],[Age]]&lt;=60,"46-60",TRUE,"60+")</f>
        <v>36-45</v>
      </c>
      <c r="C929" t="s">
        <v>9</v>
      </c>
      <c r="D929">
        <v>2</v>
      </c>
      <c r="E929" t="s">
        <v>17</v>
      </c>
      <c r="F929" t="s">
        <v>12</v>
      </c>
      <c r="G929" t="s">
        <v>12</v>
      </c>
      <c r="H929">
        <v>10297</v>
      </c>
      <c r="I929">
        <v>48</v>
      </c>
      <c r="J929" t="s">
        <v>19</v>
      </c>
      <c r="K929" t="str">
        <f>IF(AND(credit[[#This Row],[Credit amount]]&gt;9000,credit[[#This Row],[Saving accounts]]="little"),"High","Low")</f>
        <v>High</v>
      </c>
    </row>
    <row r="930" spans="1:11" x14ac:dyDescent="0.25">
      <c r="A930">
        <v>58</v>
      </c>
      <c r="B930" s="13" t="str" cm="1">
        <f t="array" ref="B930">_xlfn.IFS(credit[[#This Row],[Age]]&lt;=25,"18-25",credit[[#This Row],[Age]]&lt;=35,"26-35",credit[[#This Row],[Age]]&lt;=45,"36-45",credit[[#This Row],[Age]]&lt;=60,"46-60",TRUE,"60+")</f>
        <v>46-60</v>
      </c>
      <c r="C930" t="s">
        <v>9</v>
      </c>
      <c r="D930">
        <v>2</v>
      </c>
      <c r="E930" t="s">
        <v>10</v>
      </c>
      <c r="F930" t="s">
        <v>11</v>
      </c>
      <c r="G930" t="s">
        <v>11</v>
      </c>
      <c r="H930">
        <v>1867</v>
      </c>
      <c r="I930">
        <v>30</v>
      </c>
      <c r="J930" t="s">
        <v>13</v>
      </c>
      <c r="K930" t="str">
        <f>IF(AND(credit[[#This Row],[Credit amount]]&gt;9000,credit[[#This Row],[Saving accounts]]="little"),"High","Low")</f>
        <v>Low</v>
      </c>
    </row>
    <row r="931" spans="1:11" x14ac:dyDescent="0.25">
      <c r="A931">
        <v>43</v>
      </c>
      <c r="B931" s="13" t="str" cm="1">
        <f t="array" ref="B931">_xlfn.IFS(credit[[#This Row],[Age]]&lt;=25,"18-25",credit[[#This Row],[Age]]&lt;=35,"26-35",credit[[#This Row],[Age]]&lt;=45,"36-45",credit[[#This Row],[Age]]&lt;=60,"46-60",TRUE,"60+")</f>
        <v>36-45</v>
      </c>
      <c r="C931" t="s">
        <v>9</v>
      </c>
      <c r="D931">
        <v>1</v>
      </c>
      <c r="E931" t="s">
        <v>10</v>
      </c>
      <c r="F931" t="s">
        <v>12</v>
      </c>
      <c r="G931" t="s">
        <v>12</v>
      </c>
      <c r="H931">
        <v>1344</v>
      </c>
      <c r="I931">
        <v>12</v>
      </c>
      <c r="J931" t="s">
        <v>19</v>
      </c>
      <c r="K931" t="str">
        <f>IF(AND(credit[[#This Row],[Credit amount]]&gt;9000,credit[[#This Row],[Saving accounts]]="little"),"High","Low")</f>
        <v>Low</v>
      </c>
    </row>
    <row r="932" spans="1:11" x14ac:dyDescent="0.25">
      <c r="A932">
        <v>24</v>
      </c>
      <c r="B932" s="13" t="str" cm="1">
        <f t="array" ref="B932">_xlfn.IFS(credit[[#This Row],[Age]]&lt;=25,"18-25",credit[[#This Row],[Age]]&lt;=35,"26-35",credit[[#This Row],[Age]]&lt;=45,"36-45",credit[[#This Row],[Age]]&lt;=60,"46-60",TRUE,"60+")</f>
        <v>18-25</v>
      </c>
      <c r="C932" t="s">
        <v>9</v>
      </c>
      <c r="D932">
        <v>1</v>
      </c>
      <c r="E932" t="s">
        <v>10</v>
      </c>
      <c r="F932" t="s">
        <v>12</v>
      </c>
      <c r="G932" t="s">
        <v>12</v>
      </c>
      <c r="H932">
        <v>1747</v>
      </c>
      <c r="I932">
        <v>24</v>
      </c>
      <c r="J932" t="s">
        <v>18</v>
      </c>
      <c r="K932" t="str">
        <f>IF(AND(credit[[#This Row],[Credit amount]]&gt;9000,credit[[#This Row],[Saving accounts]]="little"),"High","Low")</f>
        <v>Low</v>
      </c>
    </row>
    <row r="933" spans="1:11" x14ac:dyDescent="0.25">
      <c r="A933">
        <v>22</v>
      </c>
      <c r="B933" s="13" t="str" cm="1">
        <f t="array" ref="B933">_xlfn.IFS(credit[[#This Row],[Age]]&lt;=25,"18-25",credit[[#This Row],[Age]]&lt;=35,"26-35",credit[[#This Row],[Age]]&lt;=45,"36-45",credit[[#This Row],[Age]]&lt;=60,"46-60",TRUE,"60+")</f>
        <v>18-25</v>
      </c>
      <c r="C933" t="s">
        <v>14</v>
      </c>
      <c r="D933">
        <v>2</v>
      </c>
      <c r="E933" t="s">
        <v>10</v>
      </c>
      <c r="F933" t="s">
        <v>12</v>
      </c>
      <c r="G933" t="s">
        <v>15</v>
      </c>
      <c r="H933">
        <v>1670</v>
      </c>
      <c r="I933">
        <v>9</v>
      </c>
      <c r="J933" t="s">
        <v>13</v>
      </c>
      <c r="K933" t="str">
        <f>IF(AND(credit[[#This Row],[Credit amount]]&gt;9000,credit[[#This Row],[Saving accounts]]="little"),"High","Low")</f>
        <v>Low</v>
      </c>
    </row>
    <row r="934" spans="1:11" x14ac:dyDescent="0.25">
      <c r="A934">
        <v>30</v>
      </c>
      <c r="B934" s="13" t="str" cm="1">
        <f t="array" ref="B934">_xlfn.IFS(credit[[#This Row],[Age]]&lt;=25,"18-25",credit[[#This Row],[Age]]&lt;=35,"26-35",credit[[#This Row],[Age]]&lt;=45,"36-45",credit[[#This Row],[Age]]&lt;=60,"46-60",TRUE,"60+")</f>
        <v>26-35</v>
      </c>
      <c r="C934" t="s">
        <v>9</v>
      </c>
      <c r="D934">
        <v>2</v>
      </c>
      <c r="E934" t="s">
        <v>10</v>
      </c>
      <c r="F934" t="s">
        <v>12</v>
      </c>
      <c r="G934" t="s">
        <v>11</v>
      </c>
      <c r="H934">
        <v>1224</v>
      </c>
      <c r="I934">
        <v>9</v>
      </c>
      <c r="J934" t="s">
        <v>19</v>
      </c>
      <c r="K934" t="str">
        <f>IF(AND(credit[[#This Row],[Credit amount]]&gt;9000,credit[[#This Row],[Saving accounts]]="little"),"High","Low")</f>
        <v>Low</v>
      </c>
    </row>
    <row r="935" spans="1:11" x14ac:dyDescent="0.25">
      <c r="A935">
        <v>42</v>
      </c>
      <c r="B935" s="13" t="str" cm="1">
        <f t="array" ref="B935">_xlfn.IFS(credit[[#This Row],[Age]]&lt;=25,"18-25",credit[[#This Row],[Age]]&lt;=35,"26-35",credit[[#This Row],[Age]]&lt;=45,"36-45",credit[[#This Row],[Age]]&lt;=60,"46-60",TRUE,"60+")</f>
        <v>36-45</v>
      </c>
      <c r="C935" t="s">
        <v>9</v>
      </c>
      <c r="D935">
        <v>2</v>
      </c>
      <c r="E935" t="s">
        <v>10</v>
      </c>
      <c r="F935" t="s">
        <v>20</v>
      </c>
      <c r="G935" t="s">
        <v>11</v>
      </c>
      <c r="H935">
        <v>522</v>
      </c>
      <c r="I935">
        <v>12</v>
      </c>
      <c r="J935" t="s">
        <v>13</v>
      </c>
      <c r="K935" t="str">
        <f>IF(AND(credit[[#This Row],[Credit amount]]&gt;9000,credit[[#This Row],[Saving accounts]]="little"),"High","Low")</f>
        <v>Low</v>
      </c>
    </row>
    <row r="936" spans="1:11" x14ac:dyDescent="0.25">
      <c r="A936">
        <v>23</v>
      </c>
      <c r="B936" s="13" t="str" cm="1">
        <f t="array" ref="B936">_xlfn.IFS(credit[[#This Row],[Age]]&lt;=25,"18-25",credit[[#This Row],[Age]]&lt;=35,"26-35",credit[[#This Row],[Age]]&lt;=45,"36-45",credit[[#This Row],[Age]]&lt;=60,"46-60",TRUE,"60+")</f>
        <v>18-25</v>
      </c>
      <c r="C936" t="s">
        <v>14</v>
      </c>
      <c r="D936">
        <v>2</v>
      </c>
      <c r="E936" t="s">
        <v>10</v>
      </c>
      <c r="F936" t="s">
        <v>12</v>
      </c>
      <c r="G936" t="s">
        <v>12</v>
      </c>
      <c r="H936">
        <v>1498</v>
      </c>
      <c r="I936">
        <v>12</v>
      </c>
      <c r="J936" t="s">
        <v>13</v>
      </c>
      <c r="K936" t="str">
        <f>IF(AND(credit[[#This Row],[Credit amount]]&gt;9000,credit[[#This Row],[Saving accounts]]="little"),"High","Low")</f>
        <v>Low</v>
      </c>
    </row>
    <row r="937" spans="1:11" x14ac:dyDescent="0.25">
      <c r="A937">
        <v>30</v>
      </c>
      <c r="B937" s="13" t="str" cm="1">
        <f t="array" ref="B937">_xlfn.IFS(credit[[#This Row],[Age]]&lt;=25,"18-25",credit[[#This Row],[Age]]&lt;=35,"26-35",credit[[#This Row],[Age]]&lt;=45,"36-45",credit[[#This Row],[Age]]&lt;=60,"46-60",TRUE,"60+")</f>
        <v>26-35</v>
      </c>
      <c r="C937" t="s">
        <v>9</v>
      </c>
      <c r="D937">
        <v>3</v>
      </c>
      <c r="E937" t="s">
        <v>10</v>
      </c>
      <c r="F937" t="s">
        <v>15</v>
      </c>
      <c r="G937" t="s">
        <v>15</v>
      </c>
      <c r="H937">
        <v>1919</v>
      </c>
      <c r="I937">
        <v>30</v>
      </c>
      <c r="J937" t="s">
        <v>13</v>
      </c>
      <c r="K937" t="str">
        <f>IF(AND(credit[[#This Row],[Credit amount]]&gt;9000,credit[[#This Row],[Saving accounts]]="little"),"High","Low")</f>
        <v>Low</v>
      </c>
    </row>
    <row r="938" spans="1:11" x14ac:dyDescent="0.25">
      <c r="A938">
        <v>28</v>
      </c>
      <c r="B938" s="13" t="str" cm="1">
        <f t="array" ref="B938">_xlfn.IFS(credit[[#This Row],[Age]]&lt;=25,"18-25",credit[[#This Row],[Age]]&lt;=35,"26-35",credit[[#This Row],[Age]]&lt;=45,"36-45",credit[[#This Row],[Age]]&lt;=60,"46-60",TRUE,"60+")</f>
        <v>26-35</v>
      </c>
      <c r="C938" t="s">
        <v>14</v>
      </c>
      <c r="D938">
        <v>1</v>
      </c>
      <c r="E938" t="s">
        <v>10</v>
      </c>
      <c r="F938" t="s">
        <v>12</v>
      </c>
      <c r="G938" t="s">
        <v>22</v>
      </c>
      <c r="H938">
        <v>745</v>
      </c>
      <c r="I938">
        <v>9</v>
      </c>
      <c r="J938" t="s">
        <v>13</v>
      </c>
      <c r="K938" t="str">
        <f>IF(AND(credit[[#This Row],[Credit amount]]&gt;9000,credit[[#This Row],[Saving accounts]]="little"),"High","Low")</f>
        <v>Low</v>
      </c>
    </row>
    <row r="939" spans="1:11" x14ac:dyDescent="0.25">
      <c r="A939">
        <v>30</v>
      </c>
      <c r="B939" s="13" t="str" cm="1">
        <f t="array" ref="B939">_xlfn.IFS(credit[[#This Row],[Age]]&lt;=25,"18-25",credit[[#This Row],[Age]]&lt;=35,"26-35",credit[[#This Row],[Age]]&lt;=45,"36-45",credit[[#This Row],[Age]]&lt;=60,"46-60",TRUE,"60+")</f>
        <v>26-35</v>
      </c>
      <c r="C939" t="s">
        <v>9</v>
      </c>
      <c r="D939">
        <v>3</v>
      </c>
      <c r="E939" t="s">
        <v>21</v>
      </c>
      <c r="F939" t="s">
        <v>12</v>
      </c>
      <c r="G939" t="s">
        <v>15</v>
      </c>
      <c r="H939">
        <v>2063</v>
      </c>
      <c r="I939">
        <v>6</v>
      </c>
      <c r="J939" t="s">
        <v>13</v>
      </c>
      <c r="K939" t="str">
        <f>IF(AND(credit[[#This Row],[Credit amount]]&gt;9000,credit[[#This Row],[Saving accounts]]="little"),"High","Low")</f>
        <v>Low</v>
      </c>
    </row>
    <row r="940" spans="1:11" x14ac:dyDescent="0.25">
      <c r="A940">
        <v>42</v>
      </c>
      <c r="B940" s="13" t="str" cm="1">
        <f t="array" ref="B940">_xlfn.IFS(credit[[#This Row],[Age]]&lt;=25,"18-25",credit[[#This Row],[Age]]&lt;=35,"26-35",credit[[#This Row],[Age]]&lt;=45,"36-45",credit[[#This Row],[Age]]&lt;=60,"46-60",TRUE,"60+")</f>
        <v>36-45</v>
      </c>
      <c r="C940" t="s">
        <v>9</v>
      </c>
      <c r="D940">
        <v>2</v>
      </c>
      <c r="E940" t="s">
        <v>17</v>
      </c>
      <c r="F940" t="s">
        <v>12</v>
      </c>
      <c r="G940" t="s">
        <v>15</v>
      </c>
      <c r="H940">
        <v>6288</v>
      </c>
      <c r="I940">
        <v>60</v>
      </c>
      <c r="J940" t="s">
        <v>16</v>
      </c>
      <c r="K940" t="str">
        <f>IF(AND(credit[[#This Row],[Credit amount]]&gt;9000,credit[[#This Row],[Saving accounts]]="little"),"High","Low")</f>
        <v>Low</v>
      </c>
    </row>
    <row r="941" spans="1:11" x14ac:dyDescent="0.25">
      <c r="A941">
        <v>46</v>
      </c>
      <c r="B941" s="13" t="str" cm="1">
        <f t="array" ref="B941">_xlfn.IFS(credit[[#This Row],[Age]]&lt;=25,"18-25",credit[[#This Row],[Age]]&lt;=35,"26-35",credit[[#This Row],[Age]]&lt;=45,"36-45",credit[[#This Row],[Age]]&lt;=60,"46-60",TRUE,"60+")</f>
        <v>46-60</v>
      </c>
      <c r="C941" t="s">
        <v>9</v>
      </c>
      <c r="D941">
        <v>3</v>
      </c>
      <c r="E941" t="s">
        <v>10</v>
      </c>
      <c r="F941" t="s">
        <v>11</v>
      </c>
      <c r="G941" t="s">
        <v>11</v>
      </c>
      <c r="H941">
        <v>6842</v>
      </c>
      <c r="I941">
        <v>24</v>
      </c>
      <c r="J941" t="s">
        <v>19</v>
      </c>
      <c r="K941" t="str">
        <f>IF(AND(credit[[#This Row],[Credit amount]]&gt;9000,credit[[#This Row],[Saving accounts]]="little"),"High","Low")</f>
        <v>Low</v>
      </c>
    </row>
    <row r="942" spans="1:11" x14ac:dyDescent="0.25">
      <c r="A942">
        <v>45</v>
      </c>
      <c r="B942" s="13" t="str" cm="1">
        <f t="array" ref="B942">_xlfn.IFS(credit[[#This Row],[Age]]&lt;=25,"18-25",credit[[#This Row],[Age]]&lt;=35,"26-35",credit[[#This Row],[Age]]&lt;=45,"36-45",credit[[#This Row],[Age]]&lt;=60,"46-60",TRUE,"60+")</f>
        <v>36-45</v>
      </c>
      <c r="C942" t="s">
        <v>9</v>
      </c>
      <c r="D942">
        <v>3</v>
      </c>
      <c r="E942" t="s">
        <v>10</v>
      </c>
      <c r="F942" t="s">
        <v>11</v>
      </c>
      <c r="G942" t="s">
        <v>11</v>
      </c>
      <c r="H942">
        <v>3527</v>
      </c>
      <c r="I942">
        <v>12</v>
      </c>
      <c r="J942" t="s">
        <v>19</v>
      </c>
      <c r="K942" t="str">
        <f>IF(AND(credit[[#This Row],[Credit amount]]&gt;9000,credit[[#This Row],[Saving accounts]]="little"),"High","Low")</f>
        <v>Low</v>
      </c>
    </row>
    <row r="943" spans="1:11" x14ac:dyDescent="0.25">
      <c r="A943">
        <v>31</v>
      </c>
      <c r="B943" s="13" t="str" cm="1">
        <f t="array" ref="B943">_xlfn.IFS(credit[[#This Row],[Age]]&lt;=25,"18-25",credit[[#This Row],[Age]]&lt;=35,"26-35",credit[[#This Row],[Age]]&lt;=45,"36-45",credit[[#This Row],[Age]]&lt;=60,"46-60",TRUE,"60+")</f>
        <v>26-35</v>
      </c>
      <c r="C943" t="s">
        <v>9</v>
      </c>
      <c r="D943">
        <v>1</v>
      </c>
      <c r="E943" t="s">
        <v>10</v>
      </c>
      <c r="F943" t="s">
        <v>12</v>
      </c>
      <c r="G943" t="s">
        <v>11</v>
      </c>
      <c r="H943">
        <v>1546</v>
      </c>
      <c r="I943">
        <v>10</v>
      </c>
      <c r="J943" t="s">
        <v>19</v>
      </c>
      <c r="K943" t="str">
        <f>IF(AND(credit[[#This Row],[Credit amount]]&gt;9000,credit[[#This Row],[Saving accounts]]="little"),"High","Low")</f>
        <v>Low</v>
      </c>
    </row>
    <row r="944" spans="1:11" x14ac:dyDescent="0.25">
      <c r="A944">
        <v>31</v>
      </c>
      <c r="B944" s="13" t="str" cm="1">
        <f t="array" ref="B944">_xlfn.IFS(credit[[#This Row],[Age]]&lt;=25,"18-25",credit[[#This Row],[Age]]&lt;=35,"26-35",credit[[#This Row],[Age]]&lt;=45,"36-45",credit[[#This Row],[Age]]&lt;=60,"46-60",TRUE,"60+")</f>
        <v>26-35</v>
      </c>
      <c r="C944" t="s">
        <v>9</v>
      </c>
      <c r="D944">
        <v>2</v>
      </c>
      <c r="E944" t="s">
        <v>10</v>
      </c>
      <c r="F944" t="s">
        <v>11</v>
      </c>
      <c r="G944" t="s">
        <v>11</v>
      </c>
      <c r="H944">
        <v>929</v>
      </c>
      <c r="I944">
        <v>24</v>
      </c>
      <c r="J944" t="s">
        <v>18</v>
      </c>
      <c r="K944" t="str">
        <f>IF(AND(credit[[#This Row],[Credit amount]]&gt;9000,credit[[#This Row],[Saving accounts]]="little"),"High","Low")</f>
        <v>Low</v>
      </c>
    </row>
    <row r="945" spans="1:11" x14ac:dyDescent="0.25">
      <c r="A945">
        <v>42</v>
      </c>
      <c r="B945" s="13" t="str" cm="1">
        <f t="array" ref="B945">_xlfn.IFS(credit[[#This Row],[Age]]&lt;=25,"18-25",credit[[#This Row],[Age]]&lt;=35,"26-35",credit[[#This Row],[Age]]&lt;=45,"36-45",credit[[#This Row],[Age]]&lt;=60,"46-60",TRUE,"60+")</f>
        <v>36-45</v>
      </c>
      <c r="C945" t="s">
        <v>9</v>
      </c>
      <c r="D945">
        <v>1</v>
      </c>
      <c r="E945" t="s">
        <v>10</v>
      </c>
      <c r="F945" t="s">
        <v>12</v>
      </c>
      <c r="G945" t="s">
        <v>11</v>
      </c>
      <c r="H945">
        <v>1455</v>
      </c>
      <c r="I945">
        <v>4</v>
      </c>
      <c r="J945" t="s">
        <v>19</v>
      </c>
      <c r="K945" t="str">
        <f>IF(AND(credit[[#This Row],[Credit amount]]&gt;9000,credit[[#This Row],[Saving accounts]]="little"),"High","Low")</f>
        <v>Low</v>
      </c>
    </row>
    <row r="946" spans="1:11" x14ac:dyDescent="0.25">
      <c r="A946">
        <v>46</v>
      </c>
      <c r="B946" s="13" t="str" cm="1">
        <f t="array" ref="B946">_xlfn.IFS(credit[[#This Row],[Age]]&lt;=25,"18-25",credit[[#This Row],[Age]]&lt;=35,"26-35",credit[[#This Row],[Age]]&lt;=45,"36-45",credit[[#This Row],[Age]]&lt;=60,"46-60",TRUE,"60+")</f>
        <v>46-60</v>
      </c>
      <c r="C946" t="s">
        <v>14</v>
      </c>
      <c r="D946">
        <v>2</v>
      </c>
      <c r="E946" t="s">
        <v>21</v>
      </c>
      <c r="F946" t="s">
        <v>12</v>
      </c>
      <c r="G946" t="s">
        <v>12</v>
      </c>
      <c r="H946">
        <v>1845</v>
      </c>
      <c r="I946">
        <v>15</v>
      </c>
      <c r="J946" t="s">
        <v>18</v>
      </c>
      <c r="K946" t="str">
        <f>IF(AND(credit[[#This Row],[Credit amount]]&gt;9000,credit[[#This Row],[Saving accounts]]="little"),"High","Low")</f>
        <v>Low</v>
      </c>
    </row>
    <row r="947" spans="1:11" x14ac:dyDescent="0.25">
      <c r="A947">
        <v>30</v>
      </c>
      <c r="B947" s="13" t="str" cm="1">
        <f t="array" ref="B947">_xlfn.IFS(credit[[#This Row],[Age]]&lt;=25,"18-25",credit[[#This Row],[Age]]&lt;=35,"26-35",credit[[#This Row],[Age]]&lt;=45,"36-45",credit[[#This Row],[Age]]&lt;=60,"46-60",TRUE,"60+")</f>
        <v>26-35</v>
      </c>
      <c r="C947" t="s">
        <v>14</v>
      </c>
      <c r="D947">
        <v>2</v>
      </c>
      <c r="E947" t="s">
        <v>10</v>
      </c>
      <c r="F947" t="s">
        <v>20</v>
      </c>
      <c r="G947" t="s">
        <v>15</v>
      </c>
      <c r="H947">
        <v>8358</v>
      </c>
      <c r="I947">
        <v>48</v>
      </c>
      <c r="J947" t="s">
        <v>19</v>
      </c>
      <c r="K947" t="str">
        <f>IF(AND(credit[[#This Row],[Credit amount]]&gt;9000,credit[[#This Row],[Saving accounts]]="little"),"High","Low")</f>
        <v>Low</v>
      </c>
    </row>
    <row r="948" spans="1:11" x14ac:dyDescent="0.25">
      <c r="A948">
        <v>30</v>
      </c>
      <c r="B948" s="13" t="str" cm="1">
        <f t="array" ref="B948">_xlfn.IFS(credit[[#This Row],[Age]]&lt;=25,"18-25",credit[[#This Row],[Age]]&lt;=35,"26-35",credit[[#This Row],[Age]]&lt;=45,"36-45",credit[[#This Row],[Age]]&lt;=60,"46-60",TRUE,"60+")</f>
        <v>26-35</v>
      </c>
      <c r="C948" t="s">
        <v>9</v>
      </c>
      <c r="D948">
        <v>2</v>
      </c>
      <c r="E948" t="s">
        <v>17</v>
      </c>
      <c r="F948" t="s">
        <v>20</v>
      </c>
      <c r="G948" t="s">
        <v>12</v>
      </c>
      <c r="H948">
        <v>3349</v>
      </c>
      <c r="I948">
        <v>24</v>
      </c>
      <c r="J948" t="s">
        <v>18</v>
      </c>
      <c r="K948" t="str">
        <f>IF(AND(credit[[#This Row],[Credit amount]]&gt;9000,credit[[#This Row],[Saving accounts]]="little"),"High","Low")</f>
        <v>Low</v>
      </c>
    </row>
    <row r="949" spans="1:11" x14ac:dyDescent="0.25">
      <c r="A949">
        <v>38</v>
      </c>
      <c r="B949" s="13" t="str" cm="1">
        <f t="array" ref="B949">_xlfn.IFS(credit[[#This Row],[Age]]&lt;=25,"18-25",credit[[#This Row],[Age]]&lt;=35,"26-35",credit[[#This Row],[Age]]&lt;=45,"36-45",credit[[#This Row],[Age]]&lt;=60,"46-60",TRUE,"60+")</f>
        <v>36-45</v>
      </c>
      <c r="C949" t="s">
        <v>9</v>
      </c>
      <c r="D949">
        <v>3</v>
      </c>
      <c r="E949" t="s">
        <v>10</v>
      </c>
      <c r="F949" t="s">
        <v>11</v>
      </c>
      <c r="G949" t="s">
        <v>11</v>
      </c>
      <c r="H949">
        <v>2859</v>
      </c>
      <c r="I949">
        <v>12</v>
      </c>
      <c r="J949" t="s">
        <v>19</v>
      </c>
      <c r="K949" t="str">
        <f>IF(AND(credit[[#This Row],[Credit amount]]&gt;9000,credit[[#This Row],[Saving accounts]]="little"),"High","Low")</f>
        <v>Low</v>
      </c>
    </row>
    <row r="950" spans="1:11" x14ac:dyDescent="0.25">
      <c r="A950">
        <v>43</v>
      </c>
      <c r="B950" s="13" t="str" cm="1">
        <f t="array" ref="B950">_xlfn.IFS(credit[[#This Row],[Age]]&lt;=25,"18-25",credit[[#This Row],[Age]]&lt;=35,"26-35",credit[[#This Row],[Age]]&lt;=45,"36-45",credit[[#This Row],[Age]]&lt;=60,"46-60",TRUE,"60+")</f>
        <v>36-45</v>
      </c>
      <c r="C950" t="s">
        <v>9</v>
      </c>
      <c r="D950">
        <v>1</v>
      </c>
      <c r="E950" t="s">
        <v>10</v>
      </c>
      <c r="F950" t="s">
        <v>12</v>
      </c>
      <c r="G950" t="s">
        <v>11</v>
      </c>
      <c r="H950">
        <v>1533</v>
      </c>
      <c r="I950">
        <v>18</v>
      </c>
      <c r="J950" t="s">
        <v>18</v>
      </c>
      <c r="K950" t="str">
        <f>IF(AND(credit[[#This Row],[Credit amount]]&gt;9000,credit[[#This Row],[Saving accounts]]="little"),"High","Low")</f>
        <v>Low</v>
      </c>
    </row>
    <row r="951" spans="1:11" x14ac:dyDescent="0.25">
      <c r="A951">
        <v>31</v>
      </c>
      <c r="B951" s="13" t="str" cm="1">
        <f t="array" ref="B951">_xlfn.IFS(credit[[#This Row],[Age]]&lt;=25,"18-25",credit[[#This Row],[Age]]&lt;=35,"26-35",credit[[#This Row],[Age]]&lt;=45,"36-45",credit[[#This Row],[Age]]&lt;=60,"46-60",TRUE,"60+")</f>
        <v>26-35</v>
      </c>
      <c r="C951" t="s">
        <v>9</v>
      </c>
      <c r="D951">
        <v>2</v>
      </c>
      <c r="E951" t="s">
        <v>10</v>
      </c>
      <c r="F951" t="s">
        <v>15</v>
      </c>
      <c r="G951" t="s">
        <v>11</v>
      </c>
      <c r="H951">
        <v>3621</v>
      </c>
      <c r="I951">
        <v>24</v>
      </c>
      <c r="J951" t="s">
        <v>13</v>
      </c>
      <c r="K951" t="str">
        <f>IF(AND(credit[[#This Row],[Credit amount]]&gt;9000,credit[[#This Row],[Saving accounts]]="little"),"High","Low")</f>
        <v>Low</v>
      </c>
    </row>
    <row r="952" spans="1:11" x14ac:dyDescent="0.25">
      <c r="A952">
        <v>40</v>
      </c>
      <c r="B952" s="13" t="str" cm="1">
        <f t="array" ref="B952">_xlfn.IFS(credit[[#This Row],[Age]]&lt;=25,"18-25",credit[[#This Row],[Age]]&lt;=35,"26-35",credit[[#This Row],[Age]]&lt;=45,"36-45",credit[[#This Row],[Age]]&lt;=60,"46-60",TRUE,"60+")</f>
        <v>36-45</v>
      </c>
      <c r="C952" t="s">
        <v>9</v>
      </c>
      <c r="D952">
        <v>0</v>
      </c>
      <c r="E952" t="s">
        <v>10</v>
      </c>
      <c r="F952" t="s">
        <v>12</v>
      </c>
      <c r="G952" t="s">
        <v>15</v>
      </c>
      <c r="H952">
        <v>3590</v>
      </c>
      <c r="I952">
        <v>18</v>
      </c>
      <c r="J952" t="s">
        <v>23</v>
      </c>
      <c r="K952" t="str">
        <f>IF(AND(credit[[#This Row],[Credit amount]]&gt;9000,credit[[#This Row],[Saving accounts]]="little"),"High","Low")</f>
        <v>Low</v>
      </c>
    </row>
    <row r="953" spans="1:11" x14ac:dyDescent="0.25">
      <c r="A953">
        <v>24</v>
      </c>
      <c r="B953" s="13" t="str" cm="1">
        <f t="array" ref="B953">_xlfn.IFS(credit[[#This Row],[Age]]&lt;=25,"18-25",credit[[#This Row],[Age]]&lt;=35,"26-35",credit[[#This Row],[Age]]&lt;=45,"36-45",credit[[#This Row],[Age]]&lt;=60,"46-60",TRUE,"60+")</f>
        <v>18-25</v>
      </c>
      <c r="C953" t="s">
        <v>9</v>
      </c>
      <c r="D953">
        <v>2</v>
      </c>
      <c r="E953" t="s">
        <v>10</v>
      </c>
      <c r="F953" t="s">
        <v>12</v>
      </c>
      <c r="G953" t="s">
        <v>12</v>
      </c>
      <c r="H953">
        <v>2145</v>
      </c>
      <c r="I953">
        <v>36</v>
      </c>
      <c r="J953" t="s">
        <v>23</v>
      </c>
      <c r="K953" t="str">
        <f>IF(AND(credit[[#This Row],[Credit amount]]&gt;9000,credit[[#This Row],[Saving accounts]]="little"),"High","Low")</f>
        <v>Low</v>
      </c>
    </row>
    <row r="954" spans="1:11" x14ac:dyDescent="0.25">
      <c r="A954">
        <v>28</v>
      </c>
      <c r="B954" s="13" t="str" cm="1">
        <f t="array" ref="B954">_xlfn.IFS(credit[[#This Row],[Age]]&lt;=25,"18-25",credit[[#This Row],[Age]]&lt;=35,"26-35",credit[[#This Row],[Age]]&lt;=45,"36-45",credit[[#This Row],[Age]]&lt;=60,"46-60",TRUE,"60+")</f>
        <v>26-35</v>
      </c>
      <c r="C954" t="s">
        <v>14</v>
      </c>
      <c r="D954">
        <v>2</v>
      </c>
      <c r="E954" t="s">
        <v>21</v>
      </c>
      <c r="F954" t="s">
        <v>20</v>
      </c>
      <c r="G954" t="s">
        <v>15</v>
      </c>
      <c r="H954">
        <v>4113</v>
      </c>
      <c r="I954">
        <v>24</v>
      </c>
      <c r="J954" t="s">
        <v>19</v>
      </c>
      <c r="K954" t="str">
        <f>IF(AND(credit[[#This Row],[Credit amount]]&gt;9000,credit[[#This Row],[Saving accounts]]="little"),"High","Low")</f>
        <v>Low</v>
      </c>
    </row>
    <row r="955" spans="1:11" x14ac:dyDescent="0.25">
      <c r="A955">
        <v>26</v>
      </c>
      <c r="B955" s="13" t="str" cm="1">
        <f t="array" ref="B955">_xlfn.IFS(credit[[#This Row],[Age]]&lt;=25,"18-25",credit[[#This Row],[Age]]&lt;=35,"26-35",credit[[#This Row],[Age]]&lt;=45,"36-45",credit[[#This Row],[Age]]&lt;=60,"46-60",TRUE,"60+")</f>
        <v>26-35</v>
      </c>
      <c r="C955" t="s">
        <v>14</v>
      </c>
      <c r="D955">
        <v>3</v>
      </c>
      <c r="E955" t="s">
        <v>10</v>
      </c>
      <c r="F955" t="s">
        <v>12</v>
      </c>
      <c r="G955" t="s">
        <v>11</v>
      </c>
      <c r="H955">
        <v>10974</v>
      </c>
      <c r="I955">
        <v>36</v>
      </c>
      <c r="J955" t="s">
        <v>18</v>
      </c>
      <c r="K955" t="str">
        <f>IF(AND(credit[[#This Row],[Credit amount]]&gt;9000,credit[[#This Row],[Saving accounts]]="little"),"High","Low")</f>
        <v>High</v>
      </c>
    </row>
    <row r="956" spans="1:11" x14ac:dyDescent="0.25">
      <c r="A956">
        <v>29</v>
      </c>
      <c r="B956" s="13" t="str" cm="1">
        <f t="array" ref="B956">_xlfn.IFS(credit[[#This Row],[Age]]&lt;=25,"18-25",credit[[#This Row],[Age]]&lt;=35,"26-35",credit[[#This Row],[Age]]&lt;=45,"36-45",credit[[#This Row],[Age]]&lt;=60,"46-60",TRUE,"60+")</f>
        <v>26-35</v>
      </c>
      <c r="C956" t="s">
        <v>14</v>
      </c>
      <c r="D956">
        <v>2</v>
      </c>
      <c r="E956" t="s">
        <v>10</v>
      </c>
      <c r="F956" t="s">
        <v>12</v>
      </c>
      <c r="G956" t="s">
        <v>12</v>
      </c>
      <c r="H956">
        <v>1893</v>
      </c>
      <c r="I956">
        <v>12</v>
      </c>
      <c r="J956" t="s">
        <v>19</v>
      </c>
      <c r="K956" t="str">
        <f>IF(AND(credit[[#This Row],[Credit amount]]&gt;9000,credit[[#This Row],[Saving accounts]]="little"),"High","Low")</f>
        <v>Low</v>
      </c>
    </row>
    <row r="957" spans="1:11" x14ac:dyDescent="0.25">
      <c r="A957">
        <v>57</v>
      </c>
      <c r="B957" s="13" t="str" cm="1">
        <f t="array" ref="B957">_xlfn.IFS(credit[[#This Row],[Age]]&lt;=25,"18-25",credit[[#This Row],[Age]]&lt;=35,"26-35",credit[[#This Row],[Age]]&lt;=45,"36-45",credit[[#This Row],[Age]]&lt;=60,"46-60",TRUE,"60+")</f>
        <v>46-60</v>
      </c>
      <c r="C957" t="s">
        <v>14</v>
      </c>
      <c r="D957">
        <v>3</v>
      </c>
      <c r="E957" t="s">
        <v>21</v>
      </c>
      <c r="F957" t="s">
        <v>22</v>
      </c>
      <c r="G957" t="s">
        <v>12</v>
      </c>
      <c r="H957">
        <v>1231</v>
      </c>
      <c r="I957">
        <v>24</v>
      </c>
      <c r="J957" t="s">
        <v>13</v>
      </c>
      <c r="K957" t="str">
        <f>IF(AND(credit[[#This Row],[Credit amount]]&gt;9000,credit[[#This Row],[Saving accounts]]="little"),"High","Low")</f>
        <v>Low</v>
      </c>
    </row>
    <row r="958" spans="1:11" x14ac:dyDescent="0.25">
      <c r="A958">
        <v>49</v>
      </c>
      <c r="B958" s="13" t="str" cm="1">
        <f t="array" ref="B958">_xlfn.IFS(credit[[#This Row],[Age]]&lt;=25,"18-25",credit[[#This Row],[Age]]&lt;=35,"26-35",credit[[#This Row],[Age]]&lt;=45,"36-45",credit[[#This Row],[Age]]&lt;=60,"46-60",TRUE,"60+")</f>
        <v>46-60</v>
      </c>
      <c r="C958" t="s">
        <v>9</v>
      </c>
      <c r="D958">
        <v>1</v>
      </c>
      <c r="E958" t="s">
        <v>10</v>
      </c>
      <c r="F958" t="s">
        <v>11</v>
      </c>
      <c r="G958" t="s">
        <v>22</v>
      </c>
      <c r="H958">
        <v>3656</v>
      </c>
      <c r="I958">
        <v>30</v>
      </c>
      <c r="J958" t="s">
        <v>13</v>
      </c>
      <c r="K958" t="str">
        <f>IF(AND(credit[[#This Row],[Credit amount]]&gt;9000,credit[[#This Row],[Saving accounts]]="little"),"High","Low")</f>
        <v>Low</v>
      </c>
    </row>
    <row r="959" spans="1:11" x14ac:dyDescent="0.25">
      <c r="A959">
        <v>37</v>
      </c>
      <c r="B959" s="13" t="str" cm="1">
        <f t="array" ref="B959">_xlfn.IFS(credit[[#This Row],[Age]]&lt;=25,"18-25",credit[[#This Row],[Age]]&lt;=35,"26-35",credit[[#This Row],[Age]]&lt;=45,"36-45",credit[[#This Row],[Age]]&lt;=60,"46-60",TRUE,"60+")</f>
        <v>36-45</v>
      </c>
      <c r="C959" t="s">
        <v>9</v>
      </c>
      <c r="D959">
        <v>1</v>
      </c>
      <c r="E959" t="s">
        <v>10</v>
      </c>
      <c r="F959" t="s">
        <v>12</v>
      </c>
      <c r="G959" t="s">
        <v>15</v>
      </c>
      <c r="H959">
        <v>1154</v>
      </c>
      <c r="I959">
        <v>9</v>
      </c>
      <c r="J959" t="s">
        <v>13</v>
      </c>
      <c r="K959" t="str">
        <f>IF(AND(credit[[#This Row],[Credit amount]]&gt;9000,credit[[#This Row],[Saving accounts]]="little"),"High","Low")</f>
        <v>Low</v>
      </c>
    </row>
    <row r="960" spans="1:11" x14ac:dyDescent="0.25">
      <c r="A960">
        <v>45</v>
      </c>
      <c r="B960" s="13" t="str" cm="1">
        <f t="array" ref="B960">_xlfn.IFS(credit[[#This Row],[Age]]&lt;=25,"18-25",credit[[#This Row],[Age]]&lt;=35,"26-35",credit[[#This Row],[Age]]&lt;=45,"36-45",credit[[#This Row],[Age]]&lt;=60,"46-60",TRUE,"60+")</f>
        <v>36-45</v>
      </c>
      <c r="C960" t="s">
        <v>9</v>
      </c>
      <c r="D960">
        <v>1</v>
      </c>
      <c r="E960" t="s">
        <v>10</v>
      </c>
      <c r="F960" t="s">
        <v>12</v>
      </c>
      <c r="G960" t="s">
        <v>12</v>
      </c>
      <c r="H960">
        <v>4006</v>
      </c>
      <c r="I960">
        <v>28</v>
      </c>
      <c r="J960" t="s">
        <v>19</v>
      </c>
      <c r="K960" t="str">
        <f>IF(AND(credit[[#This Row],[Credit amount]]&gt;9000,credit[[#This Row],[Saving accounts]]="little"),"High","Low")</f>
        <v>Low</v>
      </c>
    </row>
    <row r="961" spans="1:11" x14ac:dyDescent="0.25">
      <c r="A961">
        <v>30</v>
      </c>
      <c r="B961" s="13" t="str" cm="1">
        <f t="array" ref="B961">_xlfn.IFS(credit[[#This Row],[Age]]&lt;=25,"18-25",credit[[#This Row],[Age]]&lt;=35,"26-35",credit[[#This Row],[Age]]&lt;=45,"36-45",credit[[#This Row],[Age]]&lt;=60,"46-60",TRUE,"60+")</f>
        <v>26-35</v>
      </c>
      <c r="C961" t="s">
        <v>9</v>
      </c>
      <c r="D961">
        <v>2</v>
      </c>
      <c r="E961" t="s">
        <v>17</v>
      </c>
      <c r="F961" t="s">
        <v>15</v>
      </c>
      <c r="G961" t="s">
        <v>15</v>
      </c>
      <c r="H961">
        <v>3069</v>
      </c>
      <c r="I961">
        <v>24</v>
      </c>
      <c r="J961" t="s">
        <v>18</v>
      </c>
      <c r="K961" t="str">
        <f>IF(AND(credit[[#This Row],[Credit amount]]&gt;9000,credit[[#This Row],[Saving accounts]]="little"),"High","Low")</f>
        <v>Low</v>
      </c>
    </row>
    <row r="962" spans="1:11" x14ac:dyDescent="0.25">
      <c r="A962">
        <v>30</v>
      </c>
      <c r="B962" s="13" t="str" cm="1">
        <f t="array" ref="B962">_xlfn.IFS(credit[[#This Row],[Age]]&lt;=25,"18-25",credit[[#This Row],[Age]]&lt;=35,"26-35",credit[[#This Row],[Age]]&lt;=45,"36-45",credit[[#This Row],[Age]]&lt;=60,"46-60",TRUE,"60+")</f>
        <v>26-35</v>
      </c>
      <c r="C962" t="s">
        <v>9</v>
      </c>
      <c r="D962">
        <v>2</v>
      </c>
      <c r="E962" t="s">
        <v>21</v>
      </c>
      <c r="F962" t="s">
        <v>12</v>
      </c>
      <c r="G962" t="s">
        <v>11</v>
      </c>
      <c r="H962">
        <v>1740</v>
      </c>
      <c r="I962">
        <v>6</v>
      </c>
      <c r="J962" t="s">
        <v>13</v>
      </c>
      <c r="K962" t="str">
        <f>IF(AND(credit[[#This Row],[Credit amount]]&gt;9000,credit[[#This Row],[Saving accounts]]="little"),"High","Low")</f>
        <v>Low</v>
      </c>
    </row>
    <row r="963" spans="1:11" x14ac:dyDescent="0.25">
      <c r="A963">
        <v>47</v>
      </c>
      <c r="B963" s="13" t="str" cm="1">
        <f t="array" ref="B963">_xlfn.IFS(credit[[#This Row],[Age]]&lt;=25,"18-25",credit[[#This Row],[Age]]&lt;=35,"26-35",credit[[#This Row],[Age]]&lt;=45,"36-45",credit[[#This Row],[Age]]&lt;=60,"46-60",TRUE,"60+")</f>
        <v>46-60</v>
      </c>
      <c r="C963" t="s">
        <v>9</v>
      </c>
      <c r="D963">
        <v>2</v>
      </c>
      <c r="E963" t="s">
        <v>10</v>
      </c>
      <c r="F963" t="s">
        <v>12</v>
      </c>
      <c r="G963" t="s">
        <v>15</v>
      </c>
      <c r="H963">
        <v>2353</v>
      </c>
      <c r="I963">
        <v>21</v>
      </c>
      <c r="J963" t="s">
        <v>19</v>
      </c>
      <c r="K963" t="str">
        <f>IF(AND(credit[[#This Row],[Credit amount]]&gt;9000,credit[[#This Row],[Saving accounts]]="little"),"High","Low")</f>
        <v>Low</v>
      </c>
    </row>
    <row r="964" spans="1:11" x14ac:dyDescent="0.25">
      <c r="A964">
        <v>29</v>
      </c>
      <c r="B964" s="13" t="str" cm="1">
        <f t="array" ref="B964">_xlfn.IFS(credit[[#This Row],[Age]]&lt;=25,"18-25",credit[[#This Row],[Age]]&lt;=35,"26-35",credit[[#This Row],[Age]]&lt;=45,"36-45",credit[[#This Row],[Age]]&lt;=60,"46-60",TRUE,"60+")</f>
        <v>26-35</v>
      </c>
      <c r="C964" t="s">
        <v>9</v>
      </c>
      <c r="D964">
        <v>2</v>
      </c>
      <c r="E964" t="s">
        <v>10</v>
      </c>
      <c r="F964" t="s">
        <v>11</v>
      </c>
      <c r="G964" t="s">
        <v>11</v>
      </c>
      <c r="H964">
        <v>3556</v>
      </c>
      <c r="I964">
        <v>15</v>
      </c>
      <c r="J964" t="s">
        <v>19</v>
      </c>
      <c r="K964" t="str">
        <f>IF(AND(credit[[#This Row],[Credit amount]]&gt;9000,credit[[#This Row],[Saving accounts]]="little"),"High","Low")</f>
        <v>Low</v>
      </c>
    </row>
    <row r="965" spans="1:11" x14ac:dyDescent="0.25">
      <c r="A965">
        <v>35</v>
      </c>
      <c r="B965" s="13" t="str" cm="1">
        <f t="array" ref="B965">_xlfn.IFS(credit[[#This Row],[Age]]&lt;=25,"18-25",credit[[#This Row],[Age]]&lt;=35,"26-35",credit[[#This Row],[Age]]&lt;=45,"36-45",credit[[#This Row],[Age]]&lt;=60,"46-60",TRUE,"60+")</f>
        <v>26-35</v>
      </c>
      <c r="C965" t="s">
        <v>9</v>
      </c>
      <c r="D965">
        <v>2</v>
      </c>
      <c r="E965" t="s">
        <v>10</v>
      </c>
      <c r="F965" t="s">
        <v>20</v>
      </c>
      <c r="G965" t="s">
        <v>11</v>
      </c>
      <c r="H965">
        <v>2397</v>
      </c>
      <c r="I965">
        <v>24</v>
      </c>
      <c r="J965" t="s">
        <v>13</v>
      </c>
      <c r="K965" t="str">
        <f>IF(AND(credit[[#This Row],[Credit amount]]&gt;9000,credit[[#This Row],[Saving accounts]]="little"),"High","Low")</f>
        <v>Low</v>
      </c>
    </row>
    <row r="966" spans="1:11" x14ac:dyDescent="0.25">
      <c r="A966">
        <v>22</v>
      </c>
      <c r="B966" s="13" t="str" cm="1">
        <f t="array" ref="B966">_xlfn.IFS(credit[[#This Row],[Age]]&lt;=25,"18-25",credit[[#This Row],[Age]]&lt;=35,"26-35",credit[[#This Row],[Age]]&lt;=45,"36-45",credit[[#This Row],[Age]]&lt;=60,"46-60",TRUE,"60+")</f>
        <v>18-25</v>
      </c>
      <c r="C966" t="s">
        <v>9</v>
      </c>
      <c r="D966">
        <v>1</v>
      </c>
      <c r="E966" t="s">
        <v>10</v>
      </c>
      <c r="F966" t="s">
        <v>12</v>
      </c>
      <c r="G966" t="s">
        <v>15</v>
      </c>
      <c r="H966">
        <v>454</v>
      </c>
      <c r="I966">
        <v>6</v>
      </c>
      <c r="J966" t="s">
        <v>25</v>
      </c>
      <c r="K966" t="str">
        <f>IF(AND(credit[[#This Row],[Credit amount]]&gt;9000,credit[[#This Row],[Saving accounts]]="little"),"High","Low")</f>
        <v>Low</v>
      </c>
    </row>
    <row r="967" spans="1:11" x14ac:dyDescent="0.25">
      <c r="A967">
        <v>26</v>
      </c>
      <c r="B967" s="13" t="str" cm="1">
        <f t="array" ref="B967">_xlfn.IFS(credit[[#This Row],[Age]]&lt;=25,"18-25",credit[[#This Row],[Age]]&lt;=35,"26-35",credit[[#This Row],[Age]]&lt;=45,"36-45",credit[[#This Row],[Age]]&lt;=60,"46-60",TRUE,"60+")</f>
        <v>26-35</v>
      </c>
      <c r="C967" t="s">
        <v>14</v>
      </c>
      <c r="D967">
        <v>2</v>
      </c>
      <c r="E967" t="s">
        <v>10</v>
      </c>
      <c r="F967" t="s">
        <v>11</v>
      </c>
      <c r="G967" t="s">
        <v>15</v>
      </c>
      <c r="H967">
        <v>1715</v>
      </c>
      <c r="I967">
        <v>30</v>
      </c>
      <c r="J967" t="s">
        <v>13</v>
      </c>
      <c r="K967" t="str">
        <f>IF(AND(credit[[#This Row],[Credit amount]]&gt;9000,credit[[#This Row],[Saving accounts]]="little"),"High","Low")</f>
        <v>Low</v>
      </c>
    </row>
    <row r="968" spans="1:11" x14ac:dyDescent="0.25">
      <c r="A968">
        <v>23</v>
      </c>
      <c r="B968" s="13" t="str" cm="1">
        <f t="array" ref="B968">_xlfn.IFS(credit[[#This Row],[Age]]&lt;=25,"18-25",credit[[#This Row],[Age]]&lt;=35,"26-35",credit[[#This Row],[Age]]&lt;=45,"36-45",credit[[#This Row],[Age]]&lt;=60,"46-60",TRUE,"60+")</f>
        <v>18-25</v>
      </c>
      <c r="C968" t="s">
        <v>9</v>
      </c>
      <c r="D968">
        <v>1</v>
      </c>
      <c r="E968" t="s">
        <v>10</v>
      </c>
      <c r="F968" t="s">
        <v>20</v>
      </c>
      <c r="G968" t="s">
        <v>15</v>
      </c>
      <c r="H968">
        <v>2520</v>
      </c>
      <c r="I968">
        <v>27</v>
      </c>
      <c r="J968" t="s">
        <v>13</v>
      </c>
      <c r="K968" t="str">
        <f>IF(AND(credit[[#This Row],[Credit amount]]&gt;9000,credit[[#This Row],[Saving accounts]]="little"),"High","Low")</f>
        <v>Low</v>
      </c>
    </row>
    <row r="969" spans="1:11" x14ac:dyDescent="0.25">
      <c r="A969">
        <v>54</v>
      </c>
      <c r="B969" s="13" t="str" cm="1">
        <f t="array" ref="B969">_xlfn.IFS(credit[[#This Row],[Age]]&lt;=25,"18-25",credit[[#This Row],[Age]]&lt;=35,"26-35",credit[[#This Row],[Age]]&lt;=45,"36-45",credit[[#This Row],[Age]]&lt;=60,"46-60",TRUE,"60+")</f>
        <v>46-60</v>
      </c>
      <c r="C969" t="s">
        <v>14</v>
      </c>
      <c r="D969">
        <v>3</v>
      </c>
      <c r="E969" t="s">
        <v>21</v>
      </c>
      <c r="F969" t="s">
        <v>12</v>
      </c>
      <c r="G969" t="s">
        <v>11</v>
      </c>
      <c r="H969">
        <v>3568</v>
      </c>
      <c r="I969">
        <v>15</v>
      </c>
      <c r="J969" t="s">
        <v>13</v>
      </c>
      <c r="K969" t="str">
        <f>IF(AND(credit[[#This Row],[Credit amount]]&gt;9000,credit[[#This Row],[Saving accounts]]="little"),"High","Low")</f>
        <v>Low</v>
      </c>
    </row>
    <row r="970" spans="1:11" x14ac:dyDescent="0.25">
      <c r="A970">
        <v>29</v>
      </c>
      <c r="B970" s="13" t="str" cm="1">
        <f t="array" ref="B970">_xlfn.IFS(credit[[#This Row],[Age]]&lt;=25,"18-25",credit[[#This Row],[Age]]&lt;=35,"26-35",credit[[#This Row],[Age]]&lt;=45,"36-45",credit[[#This Row],[Age]]&lt;=60,"46-60",TRUE,"60+")</f>
        <v>26-35</v>
      </c>
      <c r="C970" t="s">
        <v>9</v>
      </c>
      <c r="D970">
        <v>2</v>
      </c>
      <c r="E970" t="s">
        <v>21</v>
      </c>
      <c r="F970" t="s">
        <v>11</v>
      </c>
      <c r="G970" t="s">
        <v>11</v>
      </c>
      <c r="H970">
        <v>7166</v>
      </c>
      <c r="I970">
        <v>42</v>
      </c>
      <c r="J970" t="s">
        <v>13</v>
      </c>
      <c r="K970" t="str">
        <f>IF(AND(credit[[#This Row],[Credit amount]]&gt;9000,credit[[#This Row],[Saving accounts]]="little"),"High","Low")</f>
        <v>Low</v>
      </c>
    </row>
    <row r="971" spans="1:11" x14ac:dyDescent="0.25">
      <c r="A971">
        <v>40</v>
      </c>
      <c r="B971" s="13" t="str" cm="1">
        <f t="array" ref="B971">_xlfn.IFS(credit[[#This Row],[Age]]&lt;=25,"18-25",credit[[#This Row],[Age]]&lt;=35,"26-35",credit[[#This Row],[Age]]&lt;=45,"36-45",credit[[#This Row],[Age]]&lt;=60,"46-60",TRUE,"60+")</f>
        <v>36-45</v>
      </c>
      <c r="C971" t="s">
        <v>9</v>
      </c>
      <c r="D971">
        <v>1</v>
      </c>
      <c r="E971" t="s">
        <v>10</v>
      </c>
      <c r="F971" t="s">
        <v>12</v>
      </c>
      <c r="G971" t="s">
        <v>12</v>
      </c>
      <c r="H971">
        <v>3939</v>
      </c>
      <c r="I971">
        <v>11</v>
      </c>
      <c r="J971" t="s">
        <v>19</v>
      </c>
      <c r="K971" t="str">
        <f>IF(AND(credit[[#This Row],[Credit amount]]&gt;9000,credit[[#This Row],[Saving accounts]]="little"),"High","Low")</f>
        <v>Low</v>
      </c>
    </row>
    <row r="972" spans="1:11" x14ac:dyDescent="0.25">
      <c r="A972">
        <v>22</v>
      </c>
      <c r="B972" s="13" t="str" cm="1">
        <f t="array" ref="B972">_xlfn.IFS(credit[[#This Row],[Age]]&lt;=25,"18-25",credit[[#This Row],[Age]]&lt;=35,"26-35",credit[[#This Row],[Age]]&lt;=45,"36-45",credit[[#This Row],[Age]]&lt;=60,"46-60",TRUE,"60+")</f>
        <v>18-25</v>
      </c>
      <c r="C972" t="s">
        <v>9</v>
      </c>
      <c r="D972">
        <v>2</v>
      </c>
      <c r="E972" t="s">
        <v>10</v>
      </c>
      <c r="F972" t="s">
        <v>15</v>
      </c>
      <c r="G972" t="s">
        <v>15</v>
      </c>
      <c r="H972">
        <v>1514</v>
      </c>
      <c r="I972">
        <v>15</v>
      </c>
      <c r="J972" t="s">
        <v>25</v>
      </c>
      <c r="K972" t="str">
        <f>IF(AND(credit[[#This Row],[Credit amount]]&gt;9000,credit[[#This Row],[Saving accounts]]="little"),"High","Low")</f>
        <v>Low</v>
      </c>
    </row>
    <row r="973" spans="1:11" x14ac:dyDescent="0.25">
      <c r="A973">
        <v>43</v>
      </c>
      <c r="B973" s="13" t="str" cm="1">
        <f t="array" ref="B973">_xlfn.IFS(credit[[#This Row],[Age]]&lt;=25,"18-25",credit[[#This Row],[Age]]&lt;=35,"26-35",credit[[#This Row],[Age]]&lt;=45,"36-45",credit[[#This Row],[Age]]&lt;=60,"46-60",TRUE,"60+")</f>
        <v>36-45</v>
      </c>
      <c r="C973" t="s">
        <v>9</v>
      </c>
      <c r="D973">
        <v>1</v>
      </c>
      <c r="E973" t="s">
        <v>10</v>
      </c>
      <c r="F973" t="s">
        <v>12</v>
      </c>
      <c r="G973" t="s">
        <v>11</v>
      </c>
      <c r="H973">
        <v>7393</v>
      </c>
      <c r="I973">
        <v>24</v>
      </c>
      <c r="J973" t="s">
        <v>19</v>
      </c>
      <c r="K973" t="str">
        <f>IF(AND(credit[[#This Row],[Credit amount]]&gt;9000,credit[[#This Row],[Saving accounts]]="little"),"High","Low")</f>
        <v>Low</v>
      </c>
    </row>
    <row r="974" spans="1:11" x14ac:dyDescent="0.25">
      <c r="A974">
        <v>29</v>
      </c>
      <c r="B974" s="13" t="str" cm="1">
        <f t="array" ref="B974">_xlfn.IFS(credit[[#This Row],[Age]]&lt;=25,"18-25",credit[[#This Row],[Age]]&lt;=35,"26-35",credit[[#This Row],[Age]]&lt;=45,"36-45",credit[[#This Row],[Age]]&lt;=60,"46-60",TRUE,"60+")</f>
        <v>26-35</v>
      </c>
      <c r="C974" t="s">
        <v>14</v>
      </c>
      <c r="D974">
        <v>0</v>
      </c>
      <c r="E974" t="s">
        <v>21</v>
      </c>
      <c r="F974" t="s">
        <v>12</v>
      </c>
      <c r="G974" t="s">
        <v>12</v>
      </c>
      <c r="H974">
        <v>1193</v>
      </c>
      <c r="I974">
        <v>24</v>
      </c>
      <c r="J974" t="s">
        <v>19</v>
      </c>
      <c r="K974" t="str">
        <f>IF(AND(credit[[#This Row],[Credit amount]]&gt;9000,credit[[#This Row],[Saving accounts]]="little"),"High","Low")</f>
        <v>Low</v>
      </c>
    </row>
    <row r="975" spans="1:11" x14ac:dyDescent="0.25">
      <c r="A975">
        <v>36</v>
      </c>
      <c r="B975" s="13" t="str" cm="1">
        <f t="array" ref="B975">_xlfn.IFS(credit[[#This Row],[Age]]&lt;=25,"18-25",credit[[#This Row],[Age]]&lt;=35,"26-35",credit[[#This Row],[Age]]&lt;=45,"36-45",credit[[#This Row],[Age]]&lt;=60,"46-60",TRUE,"60+")</f>
        <v>36-45</v>
      </c>
      <c r="C975" t="s">
        <v>9</v>
      </c>
      <c r="D975">
        <v>2</v>
      </c>
      <c r="E975" t="s">
        <v>21</v>
      </c>
      <c r="F975" t="s">
        <v>12</v>
      </c>
      <c r="G975" t="s">
        <v>12</v>
      </c>
      <c r="H975">
        <v>7297</v>
      </c>
      <c r="I975">
        <v>60</v>
      </c>
      <c r="J975" t="s">
        <v>23</v>
      </c>
      <c r="K975" t="str">
        <f>IF(AND(credit[[#This Row],[Credit amount]]&gt;9000,credit[[#This Row],[Saving accounts]]="little"),"High","Low")</f>
        <v>Low</v>
      </c>
    </row>
    <row r="976" spans="1:11" x14ac:dyDescent="0.25">
      <c r="A976">
        <v>33</v>
      </c>
      <c r="B976" s="13" t="str" cm="1">
        <f t="array" ref="B976">_xlfn.IFS(credit[[#This Row],[Age]]&lt;=25,"18-25",credit[[#This Row],[Age]]&lt;=35,"26-35",credit[[#This Row],[Age]]&lt;=45,"36-45",credit[[#This Row],[Age]]&lt;=60,"46-60",TRUE,"60+")</f>
        <v>26-35</v>
      </c>
      <c r="C976" t="s">
        <v>14</v>
      </c>
      <c r="D976">
        <v>2</v>
      </c>
      <c r="E976" t="s">
        <v>10</v>
      </c>
      <c r="F976" t="s">
        <v>12</v>
      </c>
      <c r="G976" t="s">
        <v>11</v>
      </c>
      <c r="H976">
        <v>2831</v>
      </c>
      <c r="I976">
        <v>30</v>
      </c>
      <c r="J976" t="s">
        <v>13</v>
      </c>
      <c r="K976" t="str">
        <f>IF(AND(credit[[#This Row],[Credit amount]]&gt;9000,credit[[#This Row],[Saving accounts]]="little"),"High","Low")</f>
        <v>Low</v>
      </c>
    </row>
    <row r="977" spans="1:11" x14ac:dyDescent="0.25">
      <c r="A977">
        <v>57</v>
      </c>
      <c r="B977" s="13" t="str" cm="1">
        <f t="array" ref="B977">_xlfn.IFS(credit[[#This Row],[Age]]&lt;=25,"18-25",credit[[#This Row],[Age]]&lt;=35,"26-35",credit[[#This Row],[Age]]&lt;=45,"36-45",credit[[#This Row],[Age]]&lt;=60,"46-60",TRUE,"60+")</f>
        <v>46-60</v>
      </c>
      <c r="C977" t="s">
        <v>14</v>
      </c>
      <c r="D977">
        <v>1</v>
      </c>
      <c r="E977" t="s">
        <v>10</v>
      </c>
      <c r="F977" t="s">
        <v>20</v>
      </c>
      <c r="G977" t="s">
        <v>22</v>
      </c>
      <c r="H977">
        <v>1258</v>
      </c>
      <c r="I977">
        <v>24</v>
      </c>
      <c r="J977" t="s">
        <v>13</v>
      </c>
      <c r="K977" t="str">
        <f>IF(AND(credit[[#This Row],[Credit amount]]&gt;9000,credit[[#This Row],[Saving accounts]]="little"),"High","Low")</f>
        <v>Low</v>
      </c>
    </row>
    <row r="978" spans="1:11" x14ac:dyDescent="0.25">
      <c r="A978">
        <v>64</v>
      </c>
      <c r="B978" s="13" t="str" cm="1">
        <f t="array" ref="B978">_xlfn.IFS(credit[[#This Row],[Age]]&lt;=25,"18-25",credit[[#This Row],[Age]]&lt;=35,"26-35",credit[[#This Row],[Age]]&lt;=45,"36-45",credit[[#This Row],[Age]]&lt;=60,"46-60",TRUE,"60+")</f>
        <v>60+</v>
      </c>
      <c r="C978" t="s">
        <v>14</v>
      </c>
      <c r="D978">
        <v>2</v>
      </c>
      <c r="E978" t="s">
        <v>10</v>
      </c>
      <c r="F978" t="s">
        <v>12</v>
      </c>
      <c r="G978" t="s">
        <v>15</v>
      </c>
      <c r="H978">
        <v>753</v>
      </c>
      <c r="I978">
        <v>6</v>
      </c>
      <c r="J978" t="s">
        <v>13</v>
      </c>
      <c r="K978" t="str">
        <f>IF(AND(credit[[#This Row],[Credit amount]]&gt;9000,credit[[#This Row],[Saving accounts]]="little"),"High","Low")</f>
        <v>Low</v>
      </c>
    </row>
    <row r="979" spans="1:11" x14ac:dyDescent="0.25">
      <c r="A979">
        <v>42</v>
      </c>
      <c r="B979" s="13" t="str" cm="1">
        <f t="array" ref="B979">_xlfn.IFS(credit[[#This Row],[Age]]&lt;=25,"18-25",credit[[#This Row],[Age]]&lt;=35,"26-35",credit[[#This Row],[Age]]&lt;=45,"36-45",credit[[#This Row],[Age]]&lt;=60,"46-60",TRUE,"60+")</f>
        <v>36-45</v>
      </c>
      <c r="C979" t="s">
        <v>9</v>
      </c>
      <c r="D979">
        <v>2</v>
      </c>
      <c r="E979" t="s">
        <v>10</v>
      </c>
      <c r="F979" t="s">
        <v>11</v>
      </c>
      <c r="G979" t="s">
        <v>15</v>
      </c>
      <c r="H979">
        <v>2427</v>
      </c>
      <c r="I979">
        <v>18</v>
      </c>
      <c r="J979" t="s">
        <v>23</v>
      </c>
      <c r="K979" t="str">
        <f>IF(AND(credit[[#This Row],[Credit amount]]&gt;9000,credit[[#This Row],[Saving accounts]]="little"),"High","Low")</f>
        <v>Low</v>
      </c>
    </row>
    <row r="980" spans="1:11" x14ac:dyDescent="0.25">
      <c r="A980">
        <v>47</v>
      </c>
      <c r="B980" s="13" t="str" cm="1">
        <f t="array" ref="B980">_xlfn.IFS(credit[[#This Row],[Age]]&lt;=25,"18-25",credit[[#This Row],[Age]]&lt;=35,"26-35",credit[[#This Row],[Age]]&lt;=45,"36-45",credit[[#This Row],[Age]]&lt;=60,"46-60",TRUE,"60+")</f>
        <v>46-60</v>
      </c>
      <c r="C980" t="s">
        <v>9</v>
      </c>
      <c r="D980">
        <v>1</v>
      </c>
      <c r="E980" t="s">
        <v>10</v>
      </c>
      <c r="F980" t="s">
        <v>12</v>
      </c>
      <c r="G980" t="s">
        <v>11</v>
      </c>
      <c r="H980">
        <v>2538</v>
      </c>
      <c r="I980">
        <v>24</v>
      </c>
      <c r="J980" t="s">
        <v>19</v>
      </c>
      <c r="K980" t="str">
        <f>IF(AND(credit[[#This Row],[Credit amount]]&gt;9000,credit[[#This Row],[Saving accounts]]="little"),"High","Low")</f>
        <v>Low</v>
      </c>
    </row>
    <row r="981" spans="1:11" x14ac:dyDescent="0.25">
      <c r="A981">
        <v>25</v>
      </c>
      <c r="B981" s="13" t="str" cm="1">
        <f t="array" ref="B981">_xlfn.IFS(credit[[#This Row],[Age]]&lt;=25,"18-25",credit[[#This Row],[Age]]&lt;=35,"26-35",credit[[#This Row],[Age]]&lt;=45,"36-45",credit[[#This Row],[Age]]&lt;=60,"46-60",TRUE,"60+")</f>
        <v>18-25</v>
      </c>
      <c r="C981" t="s">
        <v>9</v>
      </c>
      <c r="D981">
        <v>2</v>
      </c>
      <c r="E981" t="s">
        <v>21</v>
      </c>
      <c r="F981" t="s">
        <v>15</v>
      </c>
      <c r="G981" t="s">
        <v>15</v>
      </c>
      <c r="H981">
        <v>1264</v>
      </c>
      <c r="I981">
        <v>15</v>
      </c>
      <c r="J981" t="s">
        <v>19</v>
      </c>
      <c r="K981" t="str">
        <f>IF(AND(credit[[#This Row],[Credit amount]]&gt;9000,credit[[#This Row],[Saving accounts]]="little"),"High","Low")</f>
        <v>Low</v>
      </c>
    </row>
    <row r="982" spans="1:11" x14ac:dyDescent="0.25">
      <c r="A982">
        <v>49</v>
      </c>
      <c r="B982" s="13" t="str" cm="1">
        <f t="array" ref="B982">_xlfn.IFS(credit[[#This Row],[Age]]&lt;=25,"18-25",credit[[#This Row],[Age]]&lt;=35,"26-35",credit[[#This Row],[Age]]&lt;=45,"36-45",credit[[#This Row],[Age]]&lt;=60,"46-60",TRUE,"60+")</f>
        <v>46-60</v>
      </c>
      <c r="C982" t="s">
        <v>9</v>
      </c>
      <c r="D982">
        <v>2</v>
      </c>
      <c r="E982" t="s">
        <v>10</v>
      </c>
      <c r="F982" t="s">
        <v>12</v>
      </c>
      <c r="G982" t="s">
        <v>15</v>
      </c>
      <c r="H982">
        <v>8386</v>
      </c>
      <c r="I982">
        <v>30</v>
      </c>
      <c r="J982" t="s">
        <v>18</v>
      </c>
      <c r="K982" t="str">
        <f>IF(AND(credit[[#This Row],[Credit amount]]&gt;9000,credit[[#This Row],[Saving accounts]]="little"),"High","Low")</f>
        <v>Low</v>
      </c>
    </row>
    <row r="983" spans="1:11" x14ac:dyDescent="0.25">
      <c r="A983">
        <v>33</v>
      </c>
      <c r="B983" s="13" t="str" cm="1">
        <f t="array" ref="B983">_xlfn.IFS(credit[[#This Row],[Age]]&lt;=25,"18-25",credit[[#This Row],[Age]]&lt;=35,"26-35",credit[[#This Row],[Age]]&lt;=45,"36-45",credit[[#This Row],[Age]]&lt;=60,"46-60",TRUE,"60+")</f>
        <v>26-35</v>
      </c>
      <c r="C983" t="s">
        <v>9</v>
      </c>
      <c r="D983">
        <v>3</v>
      </c>
      <c r="E983" t="s">
        <v>21</v>
      </c>
      <c r="F983" t="s">
        <v>12</v>
      </c>
      <c r="G983" t="s">
        <v>11</v>
      </c>
      <c r="H983">
        <v>4844</v>
      </c>
      <c r="I983">
        <v>48</v>
      </c>
      <c r="J983" t="s">
        <v>23</v>
      </c>
      <c r="K983" t="str">
        <f>IF(AND(credit[[#This Row],[Credit amount]]&gt;9000,credit[[#This Row],[Saving accounts]]="little"),"High","Low")</f>
        <v>Low</v>
      </c>
    </row>
    <row r="984" spans="1:11" x14ac:dyDescent="0.25">
      <c r="A984">
        <v>28</v>
      </c>
      <c r="B984" s="13" t="str" cm="1">
        <f t="array" ref="B984">_xlfn.IFS(credit[[#This Row],[Age]]&lt;=25,"18-25",credit[[#This Row],[Age]]&lt;=35,"26-35",credit[[#This Row],[Age]]&lt;=45,"36-45",credit[[#This Row],[Age]]&lt;=60,"46-60",TRUE,"60+")</f>
        <v>26-35</v>
      </c>
      <c r="C984" t="s">
        <v>14</v>
      </c>
      <c r="D984">
        <v>3</v>
      </c>
      <c r="E984" t="s">
        <v>10</v>
      </c>
      <c r="F984" t="s">
        <v>15</v>
      </c>
      <c r="G984" t="s">
        <v>22</v>
      </c>
      <c r="H984">
        <v>2923</v>
      </c>
      <c r="I984">
        <v>21</v>
      </c>
      <c r="J984" t="s">
        <v>19</v>
      </c>
      <c r="K984" t="str">
        <f>IF(AND(credit[[#This Row],[Credit amount]]&gt;9000,credit[[#This Row],[Saving accounts]]="little"),"High","Low")</f>
        <v>Low</v>
      </c>
    </row>
    <row r="985" spans="1:11" x14ac:dyDescent="0.25">
      <c r="A985">
        <v>26</v>
      </c>
      <c r="B985" s="13" t="str" cm="1">
        <f t="array" ref="B985">_xlfn.IFS(credit[[#This Row],[Age]]&lt;=25,"18-25",credit[[#This Row],[Age]]&lt;=35,"26-35",credit[[#This Row],[Age]]&lt;=45,"36-45",credit[[#This Row],[Age]]&lt;=60,"46-60",TRUE,"60+")</f>
        <v>26-35</v>
      </c>
      <c r="C985" t="s">
        <v>9</v>
      </c>
      <c r="D985">
        <v>2</v>
      </c>
      <c r="E985" t="s">
        <v>10</v>
      </c>
      <c r="F985" t="s">
        <v>12</v>
      </c>
      <c r="G985" t="s">
        <v>12</v>
      </c>
      <c r="H985">
        <v>8229</v>
      </c>
      <c r="I985">
        <v>36</v>
      </c>
      <c r="J985" t="s">
        <v>19</v>
      </c>
      <c r="K985" t="str">
        <f>IF(AND(credit[[#This Row],[Credit amount]]&gt;9000,credit[[#This Row],[Saving accounts]]="little"),"High","Low")</f>
        <v>Low</v>
      </c>
    </row>
    <row r="986" spans="1:11" x14ac:dyDescent="0.25">
      <c r="A986">
        <v>30</v>
      </c>
      <c r="B986" s="13" t="str" cm="1">
        <f t="array" ref="B986">_xlfn.IFS(credit[[#This Row],[Age]]&lt;=25,"18-25",credit[[#This Row],[Age]]&lt;=35,"26-35",credit[[#This Row],[Age]]&lt;=45,"36-45",credit[[#This Row],[Age]]&lt;=60,"46-60",TRUE,"60+")</f>
        <v>26-35</v>
      </c>
      <c r="C986" t="s">
        <v>9</v>
      </c>
      <c r="D986">
        <v>1</v>
      </c>
      <c r="E986" t="s">
        <v>10</v>
      </c>
      <c r="F986" t="s">
        <v>12</v>
      </c>
      <c r="G986" t="s">
        <v>11</v>
      </c>
      <c r="H986">
        <v>2028</v>
      </c>
      <c r="I986">
        <v>24</v>
      </c>
      <c r="J986" t="s">
        <v>18</v>
      </c>
      <c r="K986" t="str">
        <f>IF(AND(credit[[#This Row],[Credit amount]]&gt;9000,credit[[#This Row],[Saving accounts]]="little"),"High","Low")</f>
        <v>Low</v>
      </c>
    </row>
    <row r="987" spans="1:11" x14ac:dyDescent="0.25">
      <c r="A987">
        <v>25</v>
      </c>
      <c r="B987" s="13" t="str" cm="1">
        <f t="array" ref="B987">_xlfn.IFS(credit[[#This Row],[Age]]&lt;=25,"18-25",credit[[#This Row],[Age]]&lt;=35,"26-35",credit[[#This Row],[Age]]&lt;=45,"36-45",credit[[#This Row],[Age]]&lt;=60,"46-60",TRUE,"60+")</f>
        <v>18-25</v>
      </c>
      <c r="C987" t="s">
        <v>14</v>
      </c>
      <c r="D987">
        <v>2</v>
      </c>
      <c r="E987" t="s">
        <v>21</v>
      </c>
      <c r="F987" t="s">
        <v>12</v>
      </c>
      <c r="G987" t="s">
        <v>12</v>
      </c>
      <c r="H987">
        <v>1433</v>
      </c>
      <c r="I987">
        <v>15</v>
      </c>
      <c r="J987" t="s">
        <v>18</v>
      </c>
      <c r="K987" t="str">
        <f>IF(AND(credit[[#This Row],[Credit amount]]&gt;9000,credit[[#This Row],[Saving accounts]]="little"),"High","Low")</f>
        <v>Low</v>
      </c>
    </row>
    <row r="988" spans="1:11" x14ac:dyDescent="0.25">
      <c r="A988">
        <v>33</v>
      </c>
      <c r="B988" s="13" t="str" cm="1">
        <f t="array" ref="B988">_xlfn.IFS(credit[[#This Row],[Age]]&lt;=25,"18-25",credit[[#This Row],[Age]]&lt;=35,"26-35",credit[[#This Row],[Age]]&lt;=45,"36-45",credit[[#This Row],[Age]]&lt;=60,"46-60",TRUE,"60+")</f>
        <v>26-35</v>
      </c>
      <c r="C988" t="s">
        <v>9</v>
      </c>
      <c r="D988">
        <v>2</v>
      </c>
      <c r="E988" t="s">
        <v>10</v>
      </c>
      <c r="F988" t="s">
        <v>12</v>
      </c>
      <c r="G988" t="s">
        <v>22</v>
      </c>
      <c r="H988">
        <v>6289</v>
      </c>
      <c r="I988">
        <v>42</v>
      </c>
      <c r="J988" t="s">
        <v>23</v>
      </c>
      <c r="K988" t="str">
        <f>IF(AND(credit[[#This Row],[Credit amount]]&gt;9000,credit[[#This Row],[Saving accounts]]="little"),"High","Low")</f>
        <v>Low</v>
      </c>
    </row>
    <row r="989" spans="1:11" x14ac:dyDescent="0.25">
      <c r="A989">
        <v>64</v>
      </c>
      <c r="B989" s="13" t="str" cm="1">
        <f t="array" ref="B989">_xlfn.IFS(credit[[#This Row],[Age]]&lt;=25,"18-25",credit[[#This Row],[Age]]&lt;=35,"26-35",credit[[#This Row],[Age]]&lt;=45,"36-45",credit[[#This Row],[Age]]&lt;=60,"46-60",TRUE,"60+")</f>
        <v>60+</v>
      </c>
      <c r="C989" t="s">
        <v>14</v>
      </c>
      <c r="D989">
        <v>2</v>
      </c>
      <c r="E989" t="s">
        <v>10</v>
      </c>
      <c r="F989" t="s">
        <v>15</v>
      </c>
      <c r="G989" t="s">
        <v>11</v>
      </c>
      <c r="H989">
        <v>1409</v>
      </c>
      <c r="I989">
        <v>13</v>
      </c>
      <c r="J989" t="s">
        <v>13</v>
      </c>
      <c r="K989" t="str">
        <f>IF(AND(credit[[#This Row],[Credit amount]]&gt;9000,credit[[#This Row],[Saving accounts]]="little"),"High","Low")</f>
        <v>Low</v>
      </c>
    </row>
    <row r="990" spans="1:11" x14ac:dyDescent="0.25">
      <c r="A990">
        <v>29</v>
      </c>
      <c r="B990" s="13" t="str" cm="1">
        <f t="array" ref="B990">_xlfn.IFS(credit[[#This Row],[Age]]&lt;=25,"18-25",credit[[#This Row],[Age]]&lt;=35,"26-35",credit[[#This Row],[Age]]&lt;=45,"36-45",credit[[#This Row],[Age]]&lt;=60,"46-60",TRUE,"60+")</f>
        <v>26-35</v>
      </c>
      <c r="C990" t="s">
        <v>9</v>
      </c>
      <c r="D990">
        <v>3</v>
      </c>
      <c r="E990" t="s">
        <v>17</v>
      </c>
      <c r="F990" t="s">
        <v>12</v>
      </c>
      <c r="G990" t="s">
        <v>12</v>
      </c>
      <c r="H990">
        <v>6579</v>
      </c>
      <c r="I990">
        <v>24</v>
      </c>
      <c r="J990" t="s">
        <v>19</v>
      </c>
      <c r="K990" t="str">
        <f>IF(AND(credit[[#This Row],[Credit amount]]&gt;9000,credit[[#This Row],[Saving accounts]]="little"),"High","Low")</f>
        <v>Low</v>
      </c>
    </row>
    <row r="991" spans="1:11" x14ac:dyDescent="0.25">
      <c r="A991">
        <v>48</v>
      </c>
      <c r="B991" s="13" t="str" cm="1">
        <f t="array" ref="B991">_xlfn.IFS(credit[[#This Row],[Age]]&lt;=25,"18-25",credit[[#This Row],[Age]]&lt;=35,"26-35",credit[[#This Row],[Age]]&lt;=45,"36-45",credit[[#This Row],[Age]]&lt;=60,"46-60",TRUE,"60+")</f>
        <v>46-60</v>
      </c>
      <c r="C991" t="s">
        <v>9</v>
      </c>
      <c r="D991">
        <v>1</v>
      </c>
      <c r="E991" t="s">
        <v>10</v>
      </c>
      <c r="F991" t="s">
        <v>12</v>
      </c>
      <c r="G991" t="s">
        <v>15</v>
      </c>
      <c r="H991">
        <v>1743</v>
      </c>
      <c r="I991">
        <v>24</v>
      </c>
      <c r="J991" t="s">
        <v>13</v>
      </c>
      <c r="K991" t="str">
        <f>IF(AND(credit[[#This Row],[Credit amount]]&gt;9000,credit[[#This Row],[Saving accounts]]="little"),"High","Low")</f>
        <v>Low</v>
      </c>
    </row>
    <row r="992" spans="1:11" x14ac:dyDescent="0.25">
      <c r="A992">
        <v>37</v>
      </c>
      <c r="B992" s="13" t="str" cm="1">
        <f t="array" ref="B992">_xlfn.IFS(credit[[#This Row],[Age]]&lt;=25,"18-25",credit[[#This Row],[Age]]&lt;=35,"26-35",credit[[#This Row],[Age]]&lt;=45,"36-45",credit[[#This Row],[Age]]&lt;=60,"46-60",TRUE,"60+")</f>
        <v>36-45</v>
      </c>
      <c r="C992" t="s">
        <v>9</v>
      </c>
      <c r="D992">
        <v>1</v>
      </c>
      <c r="E992" t="s">
        <v>10</v>
      </c>
      <c r="F992" t="s">
        <v>11</v>
      </c>
      <c r="G992" t="s">
        <v>11</v>
      </c>
      <c r="H992">
        <v>3565</v>
      </c>
      <c r="I992">
        <v>12</v>
      </c>
      <c r="J992" t="s">
        <v>16</v>
      </c>
      <c r="K992" t="str">
        <f>IF(AND(credit[[#This Row],[Credit amount]]&gt;9000,credit[[#This Row],[Saving accounts]]="little"),"High","Low")</f>
        <v>Low</v>
      </c>
    </row>
    <row r="993" spans="1:11" x14ac:dyDescent="0.25">
      <c r="A993">
        <v>34</v>
      </c>
      <c r="B993" s="13" t="str" cm="1">
        <f t="array" ref="B993">_xlfn.IFS(credit[[#This Row],[Age]]&lt;=25,"18-25",credit[[#This Row],[Age]]&lt;=35,"26-35",credit[[#This Row],[Age]]&lt;=45,"36-45",credit[[#This Row],[Age]]&lt;=60,"46-60",TRUE,"60+")</f>
        <v>26-35</v>
      </c>
      <c r="C993" t="s">
        <v>9</v>
      </c>
      <c r="D993">
        <v>1</v>
      </c>
      <c r="E993" t="s">
        <v>10</v>
      </c>
      <c r="F993" t="s">
        <v>15</v>
      </c>
      <c r="G993" t="s">
        <v>11</v>
      </c>
      <c r="H993">
        <v>1569</v>
      </c>
      <c r="I993">
        <v>15</v>
      </c>
      <c r="J993" t="s">
        <v>13</v>
      </c>
      <c r="K993" t="str">
        <f>IF(AND(credit[[#This Row],[Credit amount]]&gt;9000,credit[[#This Row],[Saving accounts]]="little"),"High","Low")</f>
        <v>Low</v>
      </c>
    </row>
    <row r="994" spans="1:11" x14ac:dyDescent="0.25">
      <c r="A994">
        <v>23</v>
      </c>
      <c r="B994" s="13" t="str" cm="1">
        <f t="array" ref="B994">_xlfn.IFS(credit[[#This Row],[Age]]&lt;=25,"18-25",credit[[#This Row],[Age]]&lt;=35,"26-35",credit[[#This Row],[Age]]&lt;=45,"36-45",credit[[#This Row],[Age]]&lt;=60,"46-60",TRUE,"60+")</f>
        <v>18-25</v>
      </c>
      <c r="C994" t="s">
        <v>9</v>
      </c>
      <c r="D994">
        <v>1</v>
      </c>
      <c r="E994" t="s">
        <v>21</v>
      </c>
      <c r="F994" t="s">
        <v>11</v>
      </c>
      <c r="G994" t="s">
        <v>12</v>
      </c>
      <c r="H994">
        <v>1936</v>
      </c>
      <c r="I994">
        <v>18</v>
      </c>
      <c r="J994" t="s">
        <v>13</v>
      </c>
      <c r="K994" t="str">
        <f>IF(AND(credit[[#This Row],[Credit amount]]&gt;9000,credit[[#This Row],[Saving accounts]]="little"),"High","Low")</f>
        <v>Low</v>
      </c>
    </row>
    <row r="995" spans="1:11" x14ac:dyDescent="0.25">
      <c r="A995">
        <v>30</v>
      </c>
      <c r="B995" s="13" t="str" cm="1">
        <f t="array" ref="B995">_xlfn.IFS(credit[[#This Row],[Age]]&lt;=25,"18-25",credit[[#This Row],[Age]]&lt;=35,"26-35",credit[[#This Row],[Age]]&lt;=45,"36-45",credit[[#This Row],[Age]]&lt;=60,"46-60",TRUE,"60+")</f>
        <v>26-35</v>
      </c>
      <c r="C995" t="s">
        <v>9</v>
      </c>
      <c r="D995">
        <v>3</v>
      </c>
      <c r="E995" t="s">
        <v>10</v>
      </c>
      <c r="F995" t="s">
        <v>12</v>
      </c>
      <c r="G995" t="s">
        <v>12</v>
      </c>
      <c r="H995">
        <v>3959</v>
      </c>
      <c r="I995">
        <v>36</v>
      </c>
      <c r="J995" t="s">
        <v>18</v>
      </c>
      <c r="K995" t="str">
        <f>IF(AND(credit[[#This Row],[Credit amount]]&gt;9000,credit[[#This Row],[Saving accounts]]="little"),"High","Low")</f>
        <v>Low</v>
      </c>
    </row>
    <row r="996" spans="1:11" x14ac:dyDescent="0.25">
      <c r="A996">
        <v>50</v>
      </c>
      <c r="B996" s="13" t="str" cm="1">
        <f t="array" ref="B996">_xlfn.IFS(credit[[#This Row],[Age]]&lt;=25,"18-25",credit[[#This Row],[Age]]&lt;=35,"26-35",credit[[#This Row],[Age]]&lt;=45,"36-45",credit[[#This Row],[Age]]&lt;=60,"46-60",TRUE,"60+")</f>
        <v>46-60</v>
      </c>
      <c r="C996" t="s">
        <v>9</v>
      </c>
      <c r="D996">
        <v>2</v>
      </c>
      <c r="E996" t="s">
        <v>10</v>
      </c>
      <c r="F996" t="s">
        <v>11</v>
      </c>
      <c r="G996" t="s">
        <v>11</v>
      </c>
      <c r="H996">
        <v>2390</v>
      </c>
      <c r="I996">
        <v>12</v>
      </c>
      <c r="J996" t="s">
        <v>19</v>
      </c>
      <c r="K996" t="str">
        <f>IF(AND(credit[[#This Row],[Credit amount]]&gt;9000,credit[[#This Row],[Saving accounts]]="little"),"High","Low")</f>
        <v>Low</v>
      </c>
    </row>
    <row r="997" spans="1:11" x14ac:dyDescent="0.25">
      <c r="A997">
        <v>31</v>
      </c>
      <c r="B997" s="13" t="str" cm="1">
        <f t="array" ref="B997">_xlfn.IFS(credit[[#This Row],[Age]]&lt;=25,"18-25",credit[[#This Row],[Age]]&lt;=35,"26-35",credit[[#This Row],[Age]]&lt;=45,"36-45",credit[[#This Row],[Age]]&lt;=60,"46-60",TRUE,"60+")</f>
        <v>26-35</v>
      </c>
      <c r="C997" t="s">
        <v>14</v>
      </c>
      <c r="D997">
        <v>1</v>
      </c>
      <c r="E997" t="s">
        <v>10</v>
      </c>
      <c r="F997" t="s">
        <v>12</v>
      </c>
      <c r="G997" t="s">
        <v>11</v>
      </c>
      <c r="H997">
        <v>1736</v>
      </c>
      <c r="I997">
        <v>12</v>
      </c>
      <c r="J997" t="s">
        <v>18</v>
      </c>
      <c r="K997" t="str">
        <f>IF(AND(credit[[#This Row],[Credit amount]]&gt;9000,credit[[#This Row],[Saving accounts]]="little"),"High","Low")</f>
        <v>Low</v>
      </c>
    </row>
    <row r="998" spans="1:11" x14ac:dyDescent="0.25">
      <c r="A998">
        <v>40</v>
      </c>
      <c r="B998" s="13" t="str" cm="1">
        <f t="array" ref="B998">_xlfn.IFS(credit[[#This Row],[Age]]&lt;=25,"18-25",credit[[#This Row],[Age]]&lt;=35,"26-35",credit[[#This Row],[Age]]&lt;=45,"36-45",credit[[#This Row],[Age]]&lt;=60,"46-60",TRUE,"60+")</f>
        <v>36-45</v>
      </c>
      <c r="C998" t="s">
        <v>9</v>
      </c>
      <c r="D998">
        <v>3</v>
      </c>
      <c r="E998" t="s">
        <v>10</v>
      </c>
      <c r="F998" t="s">
        <v>12</v>
      </c>
      <c r="G998" t="s">
        <v>12</v>
      </c>
      <c r="H998">
        <v>3857</v>
      </c>
      <c r="I998">
        <v>30</v>
      </c>
      <c r="J998" t="s">
        <v>19</v>
      </c>
      <c r="K998" t="str">
        <f>IF(AND(credit[[#This Row],[Credit amount]]&gt;9000,credit[[#This Row],[Saving accounts]]="little"),"High","Low")</f>
        <v>Low</v>
      </c>
    </row>
    <row r="999" spans="1:11" x14ac:dyDescent="0.25">
      <c r="A999">
        <v>38</v>
      </c>
      <c r="B999" s="13" t="str" cm="1">
        <f t="array" ref="B999">_xlfn.IFS(credit[[#This Row],[Age]]&lt;=25,"18-25",credit[[#This Row],[Age]]&lt;=35,"26-35",credit[[#This Row],[Age]]&lt;=45,"36-45",credit[[#This Row],[Age]]&lt;=60,"46-60",TRUE,"60+")</f>
        <v>36-45</v>
      </c>
      <c r="C999" t="s">
        <v>9</v>
      </c>
      <c r="D999">
        <v>2</v>
      </c>
      <c r="E999" t="s">
        <v>10</v>
      </c>
      <c r="F999" t="s">
        <v>12</v>
      </c>
      <c r="G999" t="s">
        <v>11</v>
      </c>
      <c r="H999">
        <v>804</v>
      </c>
      <c r="I999">
        <v>12</v>
      </c>
      <c r="J999" t="s">
        <v>13</v>
      </c>
      <c r="K999" t="str">
        <f>IF(AND(credit[[#This Row],[Credit amount]]&gt;9000,credit[[#This Row],[Saving accounts]]="little"),"High","Low")</f>
        <v>Low</v>
      </c>
    </row>
    <row r="1000" spans="1:11" x14ac:dyDescent="0.25">
      <c r="A1000">
        <v>23</v>
      </c>
      <c r="B1000" s="13" t="str" cm="1">
        <f t="array" ref="B1000">_xlfn.IFS(credit[[#This Row],[Age]]&lt;=25,"18-25",credit[[#This Row],[Age]]&lt;=35,"26-35",credit[[#This Row],[Age]]&lt;=45,"36-45",credit[[#This Row],[Age]]&lt;=60,"46-60",TRUE,"60+")</f>
        <v>18-25</v>
      </c>
      <c r="C1000" t="s">
        <v>9</v>
      </c>
      <c r="D1000">
        <v>2</v>
      </c>
      <c r="E1000" t="s">
        <v>17</v>
      </c>
      <c r="F1000" t="s">
        <v>12</v>
      </c>
      <c r="G1000" t="s">
        <v>12</v>
      </c>
      <c r="H1000">
        <v>1845</v>
      </c>
      <c r="I1000">
        <v>45</v>
      </c>
      <c r="J1000" t="s">
        <v>13</v>
      </c>
      <c r="K1000" t="str">
        <f>IF(AND(credit[[#This Row],[Credit amount]]&gt;9000,credit[[#This Row],[Saving accounts]]="little"),"High","Low")</f>
        <v>Low</v>
      </c>
    </row>
    <row r="1001" spans="1:11" x14ac:dyDescent="0.25">
      <c r="A1001">
        <v>27</v>
      </c>
      <c r="B1001" s="13" t="str" cm="1">
        <f t="array" ref="B1001">_xlfn.IFS(credit[[#This Row],[Age]]&lt;=25,"18-25",credit[[#This Row],[Age]]&lt;=35,"26-35",credit[[#This Row],[Age]]&lt;=45,"36-45",credit[[#This Row],[Age]]&lt;=60,"46-60",TRUE,"60+")</f>
        <v>26-35</v>
      </c>
      <c r="C1001" t="s">
        <v>9</v>
      </c>
      <c r="D1001">
        <v>2</v>
      </c>
      <c r="E1001" t="s">
        <v>10</v>
      </c>
      <c r="F1001" t="s">
        <v>15</v>
      </c>
      <c r="G1001" t="s">
        <v>15</v>
      </c>
      <c r="H1001">
        <v>4576</v>
      </c>
      <c r="I1001">
        <v>45</v>
      </c>
      <c r="J1001" t="s">
        <v>19</v>
      </c>
      <c r="K1001" t="str">
        <f>IF(AND(credit[[#This Row],[Credit amount]]&gt;9000,credit[[#This Row],[Saving accounts]]="little"),"High","Low")</f>
        <v>Low</v>
      </c>
    </row>
  </sheetData>
  <conditionalFormatting sqref="K2:K1001">
    <cfRule type="cellIs" dxfId="0" priority="1" operator="equal">
      <formula>"High"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4D3E-275F-4219-B9C1-D3A26A29655C}">
  <dimension ref="B3:R33"/>
  <sheetViews>
    <sheetView topLeftCell="F1" zoomScaleNormal="100" workbookViewId="0">
      <selection activeCell="P4" sqref="P4"/>
    </sheetView>
  </sheetViews>
  <sheetFormatPr defaultRowHeight="15" x14ac:dyDescent="0.25"/>
  <cols>
    <col min="2" max="2" width="21" bestFit="1" customWidth="1"/>
    <col min="3" max="3" width="12.42578125" bestFit="1" customWidth="1"/>
    <col min="6" max="6" width="20.85546875" bestFit="1" customWidth="1"/>
    <col min="9" max="9" width="4.140625" bestFit="1" customWidth="1"/>
    <col min="13" max="14" width="15.42578125" bestFit="1" customWidth="1"/>
    <col min="15" max="15" width="15.42578125" customWidth="1"/>
    <col min="16" max="16" width="18.85546875" bestFit="1" customWidth="1"/>
    <col min="17" max="17" width="28" bestFit="1" customWidth="1"/>
    <col min="18" max="18" width="10.42578125" bestFit="1" customWidth="1"/>
  </cols>
  <sheetData>
    <row r="3" spans="2:18" x14ac:dyDescent="0.25">
      <c r="B3" s="2" t="s">
        <v>28</v>
      </c>
      <c r="C3" s="2" t="s">
        <v>31</v>
      </c>
      <c r="D3" s="2" t="s">
        <v>29</v>
      </c>
      <c r="E3" s="2" t="s">
        <v>30</v>
      </c>
      <c r="F3" s="1" t="s">
        <v>38</v>
      </c>
      <c r="I3" s="19" t="s">
        <v>34</v>
      </c>
      <c r="J3" s="19"/>
      <c r="K3" s="19"/>
      <c r="L3" s="19"/>
      <c r="M3" s="19"/>
      <c r="N3" s="20"/>
      <c r="O3" s="14"/>
      <c r="P3" s="5" t="s">
        <v>33</v>
      </c>
    </row>
    <row r="4" spans="2:18" x14ac:dyDescent="0.25">
      <c r="B4" s="3" t="str" cm="1">
        <f t="array" ref="B4:B11">_xlfn.UNIQUE(credit[Purpose])</f>
        <v>radio/TV</v>
      </c>
      <c r="C4" s="3">
        <f>COUNTIFS(credit[Purpose],B4)</f>
        <v>280</v>
      </c>
      <c r="D4" s="3" cm="1">
        <f t="array" ref="D4:D11">COUNTIFS(credit[Purpose],_xlfn.ANCHORARRAY(B4),credit[Sex],D3)</f>
        <v>85</v>
      </c>
      <c r="E4" s="3" cm="1">
        <f t="array" ref="E4:E11">COUNTIFS(credit[Purpose],_xlfn.ANCHORARRAY(B4),credit[Sex],E3)</f>
        <v>195</v>
      </c>
      <c r="F4" s="4" cm="1">
        <f t="array" ref="F4:F11">SUMIFS(credit[Credit amount],credit[Purpose],_xlfn.ANCHORARRAY(B4))</f>
        <v>696543</v>
      </c>
      <c r="I4" s="6" t="str" cm="1">
        <f t="array" ref="I4:N4">_xlfn.CHOOSECOLS(credit[#Headers],1,2,3,4,5,6)</f>
        <v>Age</v>
      </c>
      <c r="J4" s="6" t="str">
        <v>Age Range</v>
      </c>
      <c r="K4" s="6" t="str">
        <v>Sex</v>
      </c>
      <c r="L4" s="6" t="str">
        <v>Job</v>
      </c>
      <c r="M4" s="6" t="str">
        <v>Housing</v>
      </c>
      <c r="N4" s="1" t="str">
        <v>Saving accounts</v>
      </c>
      <c r="O4" s="15"/>
      <c r="P4" s="4" cm="1">
        <f t="array" ref="P4:P8">_xlfn.TAKE(_xlfn._xlws.SORT(credit[Credit amount],,-1),5)</f>
        <v>18424</v>
      </c>
    </row>
    <row r="5" spans="2:18" x14ac:dyDescent="0.25">
      <c r="B5" s="3" t="str">
        <v>education</v>
      </c>
      <c r="C5" s="3">
        <f>COUNTIFS(credit[Purpose],B5)</f>
        <v>59</v>
      </c>
      <c r="D5" s="3">
        <v>24</v>
      </c>
      <c r="E5" s="3">
        <v>35</v>
      </c>
      <c r="F5" s="4">
        <v>169873</v>
      </c>
      <c r="I5" cm="1">
        <f t="array" ref="I5:N33">_xlfn._xlws.FILTER(credit[[Age]:[Saving accounts]], credit[Risk]="High")</f>
        <v>44</v>
      </c>
      <c r="J5" t="str">
        <v>36-45</v>
      </c>
      <c r="K5" t="str">
        <v>female</v>
      </c>
      <c r="L5">
        <v>3</v>
      </c>
      <c r="M5" t="str">
        <v>free</v>
      </c>
      <c r="N5" t="str">
        <v>little</v>
      </c>
      <c r="P5" s="4">
        <v>15945</v>
      </c>
    </row>
    <row r="6" spans="2:18" x14ac:dyDescent="0.25">
      <c r="B6" s="3" t="str">
        <v>furniture/equipment</v>
      </c>
      <c r="C6" s="3">
        <f>COUNTIFS(credit[Purpose],B6)</f>
        <v>181</v>
      </c>
      <c r="D6" s="3">
        <v>74</v>
      </c>
      <c r="E6" s="3">
        <v>107</v>
      </c>
      <c r="F6" s="4">
        <v>555125</v>
      </c>
      <c r="I6">
        <v>31</v>
      </c>
      <c r="J6" t="str">
        <v>26-35</v>
      </c>
      <c r="K6" t="str">
        <v>female</v>
      </c>
      <c r="L6">
        <v>2</v>
      </c>
      <c r="M6" t="str">
        <v>own</v>
      </c>
      <c r="N6" t="str">
        <v>little</v>
      </c>
      <c r="P6" s="4">
        <v>15857</v>
      </c>
    </row>
    <row r="7" spans="2:18" x14ac:dyDescent="0.25">
      <c r="B7" s="3" t="str">
        <v>car</v>
      </c>
      <c r="C7" s="3">
        <f>COUNTIFS(credit[Purpose],B7)</f>
        <v>337</v>
      </c>
      <c r="D7" s="3">
        <v>94</v>
      </c>
      <c r="E7" s="3">
        <v>243</v>
      </c>
      <c r="F7" s="4">
        <v>1269881</v>
      </c>
      <c r="I7">
        <v>25</v>
      </c>
      <c r="J7" t="str">
        <v>18-25</v>
      </c>
      <c r="K7" t="str">
        <v>male</v>
      </c>
      <c r="L7">
        <v>2</v>
      </c>
      <c r="M7" t="str">
        <v>own</v>
      </c>
      <c r="N7" t="str">
        <v>little</v>
      </c>
      <c r="P7" s="4">
        <v>15672</v>
      </c>
    </row>
    <row r="8" spans="2:18" x14ac:dyDescent="0.25">
      <c r="B8" s="3" t="str">
        <v>business</v>
      </c>
      <c r="C8" s="3">
        <f>COUNTIFS(credit[Purpose],B8)</f>
        <v>97</v>
      </c>
      <c r="D8" s="3">
        <v>19</v>
      </c>
      <c r="E8" s="3">
        <v>78</v>
      </c>
      <c r="F8" s="4">
        <v>403330</v>
      </c>
      <c r="I8">
        <v>58</v>
      </c>
      <c r="J8" t="str">
        <v>46-60</v>
      </c>
      <c r="K8" t="str">
        <v>male</v>
      </c>
      <c r="L8">
        <v>2</v>
      </c>
      <c r="M8" t="str">
        <v>rent</v>
      </c>
      <c r="N8" t="str">
        <v>little</v>
      </c>
      <c r="P8" s="4">
        <v>15653</v>
      </c>
    </row>
    <row r="9" spans="2:18" x14ac:dyDescent="0.25">
      <c r="B9" s="3" t="str">
        <v>domestic appliances</v>
      </c>
      <c r="C9" s="3">
        <f>COUNTIFS(credit[Purpose],B9)</f>
        <v>12</v>
      </c>
      <c r="D9" s="3">
        <v>6</v>
      </c>
      <c r="E9" s="3">
        <v>6</v>
      </c>
      <c r="F9" s="4">
        <v>17976</v>
      </c>
      <c r="I9">
        <v>39</v>
      </c>
      <c r="J9" t="str">
        <v>36-45</v>
      </c>
      <c r="K9" t="str">
        <v>male</v>
      </c>
      <c r="L9">
        <v>3</v>
      </c>
      <c r="M9" t="str">
        <v>own</v>
      </c>
      <c r="N9" t="str">
        <v>little</v>
      </c>
    </row>
    <row r="10" spans="2:18" x14ac:dyDescent="0.25">
      <c r="B10" s="3" t="str">
        <v>repairs</v>
      </c>
      <c r="C10" s="3">
        <f>COUNTIFS(credit[Purpose],B10)</f>
        <v>22</v>
      </c>
      <c r="D10" s="3">
        <v>5</v>
      </c>
      <c r="E10" s="3">
        <v>17</v>
      </c>
      <c r="F10" s="4">
        <v>60018</v>
      </c>
      <c r="I10">
        <v>28</v>
      </c>
      <c r="J10" t="str">
        <v>26-35</v>
      </c>
      <c r="K10" t="str">
        <v>male</v>
      </c>
      <c r="L10">
        <v>2</v>
      </c>
      <c r="M10" t="str">
        <v>own</v>
      </c>
      <c r="N10" t="str">
        <v>little</v>
      </c>
      <c r="Q10" s="2" t="s">
        <v>37</v>
      </c>
      <c r="R10" s="2" t="s">
        <v>35</v>
      </c>
    </row>
    <row r="11" spans="2:18" x14ac:dyDescent="0.25">
      <c r="B11" s="3" t="str">
        <v>vacation/others</v>
      </c>
      <c r="C11" s="3">
        <f>COUNTIFS(credit[Purpose],B11)</f>
        <v>12</v>
      </c>
      <c r="D11" s="3">
        <v>3</v>
      </c>
      <c r="E11" s="3">
        <v>9</v>
      </c>
      <c r="F11" s="4">
        <v>98512</v>
      </c>
      <c r="I11">
        <v>38</v>
      </c>
      <c r="J11" t="str">
        <v>36-45</v>
      </c>
      <c r="K11" t="str">
        <v>male</v>
      </c>
      <c r="L11">
        <v>3</v>
      </c>
      <c r="M11" t="str">
        <v>free</v>
      </c>
      <c r="N11" t="str">
        <v>little</v>
      </c>
      <c r="P11" s="2" t="s">
        <v>29</v>
      </c>
      <c r="Q11" s="8">
        <f>COUNTIFS(K5:K33,P11)</f>
        <v>8</v>
      </c>
      <c r="R11" s="7">
        <f>Q11/Q13</f>
        <v>0.27586206896551724</v>
      </c>
    </row>
    <row r="12" spans="2:18" x14ac:dyDescent="0.25">
      <c r="I12">
        <v>34</v>
      </c>
      <c r="J12" t="str">
        <v>26-35</v>
      </c>
      <c r="K12" t="str">
        <v>male</v>
      </c>
      <c r="L12">
        <v>1</v>
      </c>
      <c r="M12" t="str">
        <v>own</v>
      </c>
      <c r="N12" t="str">
        <v>little</v>
      </c>
      <c r="P12" s="2" t="s">
        <v>30</v>
      </c>
      <c r="Q12" s="8">
        <f>COUNTIFS(K4:K33,P12)</f>
        <v>21</v>
      </c>
      <c r="R12" s="7">
        <f>Q12/Q13</f>
        <v>0.72413793103448276</v>
      </c>
    </row>
    <row r="13" spans="2:18" x14ac:dyDescent="0.25">
      <c r="B13" s="2" t="s">
        <v>3</v>
      </c>
      <c r="C13" s="2" t="s">
        <v>31</v>
      </c>
      <c r="D13" s="1" t="s">
        <v>29</v>
      </c>
      <c r="E13" s="1" t="s">
        <v>30</v>
      </c>
      <c r="F13" s="1" t="s">
        <v>39</v>
      </c>
      <c r="I13">
        <v>35</v>
      </c>
      <c r="J13" t="str">
        <v>26-35</v>
      </c>
      <c r="K13" t="str">
        <v>female</v>
      </c>
      <c r="L13">
        <v>1</v>
      </c>
      <c r="M13" t="str">
        <v>own</v>
      </c>
      <c r="N13" t="str">
        <v>little</v>
      </c>
      <c r="P13" s="2" t="s">
        <v>36</v>
      </c>
      <c r="Q13" s="9">
        <f>COUNTA(J5:J33)</f>
        <v>29</v>
      </c>
    </row>
    <row r="14" spans="2:18" x14ac:dyDescent="0.25">
      <c r="B14" s="3" t="str" cm="1">
        <f t="array" ref="B14:B16">_xlfn.UNIQUE(credit[Housing])</f>
        <v>own</v>
      </c>
      <c r="C14" s="3" cm="1">
        <f t="array" ref="C14:C16">COUNTIFS(credit[Housing],_xlfn.ANCHORARRAY(B14))</f>
        <v>713</v>
      </c>
      <c r="D14" s="3" cm="1">
        <f t="array" ref="D14:D16">COUNTIFS(credit[Housing],_xlfn.ANCHORARRAY(B14),credit[Sex],D13)</f>
        <v>196</v>
      </c>
      <c r="E14" s="3" cm="1">
        <f t="array" ref="E14:E16">COUNTIFS(credit[Housing],_xlfn.ANCHORARRAY(B14),credit[Sex],E13)</f>
        <v>517</v>
      </c>
      <c r="F14" s="10">
        <f>SUMIFS(credit[Credit amount],credit[Housing],B14)</f>
        <v>2182450</v>
      </c>
      <c r="I14">
        <v>28</v>
      </c>
      <c r="J14" t="str">
        <v>26-35</v>
      </c>
      <c r="K14" t="str">
        <v>male</v>
      </c>
      <c r="L14">
        <v>3</v>
      </c>
      <c r="M14" t="str">
        <v>rent</v>
      </c>
      <c r="N14" t="str">
        <v>little</v>
      </c>
    </row>
    <row r="15" spans="2:18" x14ac:dyDescent="0.25">
      <c r="B15" s="3" t="str">
        <v>free</v>
      </c>
      <c r="C15" s="3">
        <v>108</v>
      </c>
      <c r="D15" s="3">
        <v>19</v>
      </c>
      <c r="E15" s="3">
        <v>89</v>
      </c>
      <c r="F15" s="10">
        <f>SUMIFS(credit[Credit amount],credit[Housing],B15)</f>
        <v>529871</v>
      </c>
      <c r="I15">
        <v>26</v>
      </c>
      <c r="J15" t="str">
        <v>26-35</v>
      </c>
      <c r="K15" t="str">
        <v>female</v>
      </c>
      <c r="L15">
        <v>2</v>
      </c>
      <c r="M15" t="str">
        <v>own</v>
      </c>
      <c r="N15" t="str">
        <v>little</v>
      </c>
    </row>
    <row r="16" spans="2:18" x14ac:dyDescent="0.25">
      <c r="B16" s="3" t="str">
        <v>rent</v>
      </c>
      <c r="C16" s="3">
        <v>179</v>
      </c>
      <c r="D16" s="3">
        <v>95</v>
      </c>
      <c r="E16" s="3">
        <v>84</v>
      </c>
      <c r="F16" s="10">
        <f>SUMIFS(credit[Credit amount],credit[Housing],B16)</f>
        <v>558937</v>
      </c>
      <c r="I16">
        <v>57</v>
      </c>
      <c r="J16" t="str">
        <v>46-60</v>
      </c>
      <c r="K16" t="str">
        <v>male</v>
      </c>
      <c r="L16">
        <v>3</v>
      </c>
      <c r="M16" t="str">
        <v>free</v>
      </c>
      <c r="N16" t="str">
        <v>little</v>
      </c>
      <c r="Q16" s="2" t="s">
        <v>49</v>
      </c>
      <c r="R16" s="2" t="s">
        <v>35</v>
      </c>
    </row>
    <row r="17" spans="2:18" x14ac:dyDescent="0.25">
      <c r="I17">
        <v>38</v>
      </c>
      <c r="J17" t="str">
        <v>36-45</v>
      </c>
      <c r="K17" t="str">
        <v>female</v>
      </c>
      <c r="L17">
        <v>3</v>
      </c>
      <c r="M17" t="str">
        <v>free</v>
      </c>
      <c r="N17" t="str">
        <v>little</v>
      </c>
      <c r="P17" s="2" t="s">
        <v>44</v>
      </c>
      <c r="Q17" s="8">
        <f>COUNTIFS(J5:J33,P17)</f>
        <v>6</v>
      </c>
      <c r="R17" s="7">
        <f>Q17/$Q$22</f>
        <v>0.20689655172413793</v>
      </c>
    </row>
    <row r="18" spans="2:18" x14ac:dyDescent="0.25">
      <c r="B18" s="1" t="s">
        <v>32</v>
      </c>
      <c r="C18" s="4">
        <f>AVERAGE(credit[Credit amount])</f>
        <v>3271.2579999999998</v>
      </c>
      <c r="I18">
        <v>29</v>
      </c>
      <c r="J18" t="str">
        <v>26-35</v>
      </c>
      <c r="K18" t="str">
        <v>male</v>
      </c>
      <c r="L18">
        <v>3</v>
      </c>
      <c r="M18" t="str">
        <v>own</v>
      </c>
      <c r="N18" t="str">
        <v>little</v>
      </c>
      <c r="P18" s="2" t="s">
        <v>47</v>
      </c>
      <c r="Q18" s="8">
        <f>COUNTIFS(J5:J33,P18)</f>
        <v>11</v>
      </c>
      <c r="R18" s="7">
        <f t="shared" ref="R18:R21" si="0">Q18/$Q$22</f>
        <v>0.37931034482758619</v>
      </c>
    </row>
    <row r="19" spans="2:18" x14ac:dyDescent="0.25">
      <c r="I19">
        <v>21</v>
      </c>
      <c r="J19" t="str">
        <v>18-25</v>
      </c>
      <c r="K19" t="str">
        <v>male</v>
      </c>
      <c r="L19">
        <v>2</v>
      </c>
      <c r="M19" t="str">
        <v>own</v>
      </c>
      <c r="N19" t="str">
        <v>little</v>
      </c>
      <c r="P19" s="2" t="s">
        <v>45</v>
      </c>
      <c r="Q19" s="16">
        <f>COUNTIFS(J5:J33,P19)</f>
        <v>8</v>
      </c>
      <c r="R19" s="7">
        <f t="shared" si="0"/>
        <v>0.27586206896551724</v>
      </c>
    </row>
    <row r="20" spans="2:18" x14ac:dyDescent="0.25">
      <c r="B20" s="2" t="s">
        <v>8</v>
      </c>
      <c r="C20" s="12" t="s">
        <v>44</v>
      </c>
      <c r="D20" s="2" t="s">
        <v>47</v>
      </c>
      <c r="E20" s="2" t="s">
        <v>45</v>
      </c>
      <c r="F20" s="2" t="s">
        <v>46</v>
      </c>
      <c r="G20" s="2" t="s">
        <v>48</v>
      </c>
      <c r="I20">
        <v>42</v>
      </c>
      <c r="J20" t="str">
        <v>36-45</v>
      </c>
      <c r="K20" t="str">
        <v>male</v>
      </c>
      <c r="L20">
        <v>3</v>
      </c>
      <c r="M20" t="str">
        <v>own</v>
      </c>
      <c r="N20" t="str">
        <v>little</v>
      </c>
      <c r="P20" s="2" t="s">
        <v>46</v>
      </c>
      <c r="Q20" s="16">
        <f>COUNTIFS(J5:J33,P20)</f>
        <v>3</v>
      </c>
      <c r="R20" s="7">
        <f t="shared" si="0"/>
        <v>0.10344827586206896</v>
      </c>
    </row>
    <row r="21" spans="2:18" x14ac:dyDescent="0.25">
      <c r="B21" s="3" t="str" cm="1">
        <f t="array" ref="B21:B28">_xlfn.UNIQUE(credit[Purpose])</f>
        <v>radio/TV</v>
      </c>
      <c r="C21" s="3" cm="1">
        <f t="array" ref="C21:C28">COUNTIFS(credit[Purpose],_xlfn.ANCHORARRAY(B21),credit[Age Range],$C$20)</f>
        <v>64</v>
      </c>
      <c r="D21" s="3" cm="1">
        <f t="array" ref="D21:D28">COUNTIFS(credit[Purpose],_xlfn.ANCHORARRAY(B21),credit[Age Range],D20)</f>
        <v>114</v>
      </c>
      <c r="E21" s="3" cm="1">
        <f t="array" ref="E21:E28">COUNTIFS(credit[Purpose],_xlfn.ANCHORARRAY(B21),credit[Age Range],E20)</f>
        <v>50</v>
      </c>
      <c r="F21" s="3" cm="1">
        <f t="array" ref="F21:F28">COUNTIFS(credit[Purpose],_xlfn.ANCHORARRAY(B21),credit[Age Range],F20)</f>
        <v>41</v>
      </c>
      <c r="G21" s="3" cm="1">
        <f t="array" ref="G21:G28">COUNTIFS(credit[Purpose],_xlfn.ANCHORARRAY(B21),credit[Age Range],G20)</f>
        <v>11</v>
      </c>
      <c r="I21">
        <v>27</v>
      </c>
      <c r="J21" t="str">
        <v>26-35</v>
      </c>
      <c r="K21" t="str">
        <v>male</v>
      </c>
      <c r="L21">
        <v>3</v>
      </c>
      <c r="M21" t="str">
        <v>own</v>
      </c>
      <c r="N21" t="str">
        <v>little</v>
      </c>
      <c r="P21" s="2" t="s">
        <v>48</v>
      </c>
      <c r="Q21" s="16">
        <f>COUNTIFS(J5:J33,P21)</f>
        <v>1</v>
      </c>
      <c r="R21" s="7">
        <f t="shared" si="0"/>
        <v>3.4482758620689655E-2</v>
      </c>
    </row>
    <row r="22" spans="2:18" x14ac:dyDescent="0.25">
      <c r="B22" s="3" t="str">
        <v>education</v>
      </c>
      <c r="C22" s="3">
        <v>8</v>
      </c>
      <c r="D22" s="3">
        <v>21</v>
      </c>
      <c r="E22" s="3">
        <v>14</v>
      </c>
      <c r="F22" s="3">
        <v>12</v>
      </c>
      <c r="G22" s="3">
        <v>4</v>
      </c>
      <c r="I22">
        <v>23</v>
      </c>
      <c r="J22" t="str">
        <v>18-25</v>
      </c>
      <c r="K22" t="str">
        <v>female</v>
      </c>
      <c r="L22">
        <v>3</v>
      </c>
      <c r="M22" t="str">
        <v>rent</v>
      </c>
      <c r="N22" t="str">
        <v>little</v>
      </c>
      <c r="P22" s="17" t="s">
        <v>36</v>
      </c>
      <c r="Q22" s="3">
        <f>SUM(Q17:Q21)</f>
        <v>29</v>
      </c>
      <c r="R22" s="3"/>
    </row>
    <row r="23" spans="2:18" x14ac:dyDescent="0.25">
      <c r="B23" s="3" t="str">
        <v>furniture/equipment</v>
      </c>
      <c r="C23" s="3">
        <v>52</v>
      </c>
      <c r="D23" s="3">
        <v>75</v>
      </c>
      <c r="E23" s="3">
        <v>31</v>
      </c>
      <c r="F23" s="3">
        <v>22</v>
      </c>
      <c r="G23" s="3">
        <v>1</v>
      </c>
      <c r="I23">
        <v>24</v>
      </c>
      <c r="J23" t="str">
        <v>18-25</v>
      </c>
      <c r="K23" t="str">
        <v>male</v>
      </c>
      <c r="L23">
        <v>2</v>
      </c>
      <c r="M23" t="str">
        <v>own</v>
      </c>
      <c r="N23" t="str">
        <v>little</v>
      </c>
    </row>
    <row r="24" spans="2:18" x14ac:dyDescent="0.25">
      <c r="B24" s="3" t="str">
        <v>car</v>
      </c>
      <c r="C24" s="3">
        <v>46</v>
      </c>
      <c r="D24" s="3">
        <v>127</v>
      </c>
      <c r="E24" s="3">
        <v>96</v>
      </c>
      <c r="F24" s="3">
        <v>49</v>
      </c>
      <c r="G24" s="3">
        <v>19</v>
      </c>
      <c r="I24">
        <v>55</v>
      </c>
      <c r="J24" t="str">
        <v>46-60</v>
      </c>
      <c r="K24" t="str">
        <v>male</v>
      </c>
      <c r="L24">
        <v>3</v>
      </c>
      <c r="M24" t="str">
        <v>free</v>
      </c>
      <c r="N24" t="str">
        <v>little</v>
      </c>
    </row>
    <row r="25" spans="2:18" x14ac:dyDescent="0.25">
      <c r="B25" s="3" t="str">
        <v>business</v>
      </c>
      <c r="C25" s="3">
        <v>10</v>
      </c>
      <c r="D25" s="3">
        <v>47</v>
      </c>
      <c r="E25" s="3">
        <v>26</v>
      </c>
      <c r="F25" s="3">
        <v>8</v>
      </c>
      <c r="G25" s="3">
        <v>6</v>
      </c>
      <c r="I25">
        <v>24</v>
      </c>
      <c r="J25" t="str">
        <v>18-25</v>
      </c>
      <c r="K25" t="str">
        <v>male</v>
      </c>
      <c r="L25">
        <v>2</v>
      </c>
      <c r="M25" t="str">
        <v>own</v>
      </c>
      <c r="N25" t="str">
        <v>little</v>
      </c>
    </row>
    <row r="26" spans="2:18" x14ac:dyDescent="0.25">
      <c r="B26" s="3" t="str">
        <v>domestic appliances</v>
      </c>
      <c r="C26" s="3">
        <v>4</v>
      </c>
      <c r="D26" s="3">
        <v>3</v>
      </c>
      <c r="E26" s="3">
        <v>2</v>
      </c>
      <c r="F26" s="3">
        <v>2</v>
      </c>
      <c r="G26" s="3">
        <v>1</v>
      </c>
      <c r="I26">
        <v>43</v>
      </c>
      <c r="J26" t="str">
        <v>36-45</v>
      </c>
      <c r="K26" t="str">
        <v>male</v>
      </c>
      <c r="L26">
        <v>3</v>
      </c>
      <c r="M26" t="str">
        <v>own</v>
      </c>
      <c r="N26" t="str">
        <v>little</v>
      </c>
    </row>
    <row r="27" spans="2:18" x14ac:dyDescent="0.25">
      <c r="B27" s="3" t="str">
        <v>repairs</v>
      </c>
      <c r="C27" s="3">
        <v>6</v>
      </c>
      <c r="D27" s="3">
        <v>6</v>
      </c>
      <c r="E27" s="3">
        <v>3</v>
      </c>
      <c r="F27" s="3">
        <v>4</v>
      </c>
      <c r="G27" s="3">
        <v>3</v>
      </c>
      <c r="I27">
        <v>29</v>
      </c>
      <c r="J27" t="str">
        <v>26-35</v>
      </c>
      <c r="K27" t="str">
        <v>male</v>
      </c>
      <c r="L27">
        <v>2</v>
      </c>
      <c r="M27" t="str">
        <v>rent</v>
      </c>
      <c r="N27" t="str">
        <v>little</v>
      </c>
    </row>
    <row r="28" spans="2:18" x14ac:dyDescent="0.25">
      <c r="B28" s="3" t="str">
        <v>vacation/others</v>
      </c>
      <c r="C28" s="3">
        <v>0</v>
      </c>
      <c r="D28" s="3">
        <v>5</v>
      </c>
      <c r="E28" s="3">
        <v>4</v>
      </c>
      <c r="F28" s="3">
        <v>3</v>
      </c>
      <c r="G28" s="3">
        <v>0</v>
      </c>
      <c r="I28">
        <v>45</v>
      </c>
      <c r="J28" t="str">
        <v>36-45</v>
      </c>
      <c r="K28" t="str">
        <v>male</v>
      </c>
      <c r="L28">
        <v>2</v>
      </c>
      <c r="M28" t="str">
        <v>own</v>
      </c>
      <c r="N28" t="str">
        <v>little</v>
      </c>
    </row>
    <row r="29" spans="2:18" x14ac:dyDescent="0.25">
      <c r="I29">
        <v>23</v>
      </c>
      <c r="J29" t="str">
        <v>18-25</v>
      </c>
      <c r="K29" t="str">
        <v>male</v>
      </c>
      <c r="L29">
        <v>2</v>
      </c>
      <c r="M29" t="str">
        <v>own</v>
      </c>
      <c r="N29" t="str">
        <v>little</v>
      </c>
    </row>
    <row r="30" spans="2:18" x14ac:dyDescent="0.25">
      <c r="B30" s="2" t="s">
        <v>3</v>
      </c>
      <c r="C30" s="2" t="s">
        <v>44</v>
      </c>
      <c r="D30" s="2" t="s">
        <v>47</v>
      </c>
      <c r="E30" s="2" t="s">
        <v>45</v>
      </c>
      <c r="F30" s="2" t="s">
        <v>46</v>
      </c>
      <c r="G30" s="2" t="s">
        <v>48</v>
      </c>
      <c r="I30">
        <v>32</v>
      </c>
      <c r="J30" t="str">
        <v>26-35</v>
      </c>
      <c r="K30" t="str">
        <v>female</v>
      </c>
      <c r="L30">
        <v>3</v>
      </c>
      <c r="M30" t="str">
        <v>own</v>
      </c>
      <c r="N30" t="str">
        <v>little</v>
      </c>
    </row>
    <row r="31" spans="2:18" x14ac:dyDescent="0.25">
      <c r="B31" s="3" t="str" cm="1">
        <f t="array" ref="B31:B33">_xlfn.UNIQUE(credit[Housing])</f>
        <v>own</v>
      </c>
      <c r="C31" s="3" cm="1">
        <f t="array" ref="C31:C33">COUNTIFS(credit[Housing],_xlfn.ANCHORARRAY(B31),credit[Age Range],C30)</f>
        <v>106</v>
      </c>
      <c r="D31" s="3" cm="1">
        <f t="array" ref="D31:D33">COUNTIFS(credit[Housing],_xlfn.ANCHORARRAY(B31),credit[Age Range],D30)</f>
        <v>316</v>
      </c>
      <c r="E31" s="3" cm="1">
        <f t="array" ref="E31:E33">COUNTIFS(credit[Housing],_xlfn.ANCHORARRAY(B31),credit[Age Range],E30)</f>
        <v>168</v>
      </c>
      <c r="F31" s="3" cm="1">
        <f t="array" ref="F31:F33">COUNTIFS(credit[Housing],_xlfn.ANCHORARRAY(B31),credit[Age Range],F30)</f>
        <v>93</v>
      </c>
      <c r="G31" s="3" cm="1">
        <f t="array" ref="G31:G33">COUNTIFS(credit[Housing],_xlfn.ANCHORARRAY(B31),credit[Age Range],G30)</f>
        <v>30</v>
      </c>
      <c r="I31">
        <v>68</v>
      </c>
      <c r="J31" t="str">
        <v>60+</v>
      </c>
      <c r="K31" t="str">
        <v>male</v>
      </c>
      <c r="L31">
        <v>3</v>
      </c>
      <c r="M31" t="str">
        <v>own</v>
      </c>
      <c r="N31" t="str">
        <v>little</v>
      </c>
    </row>
    <row r="32" spans="2:18" x14ac:dyDescent="0.25">
      <c r="B32" s="3" t="str">
        <v>free</v>
      </c>
      <c r="C32" s="3">
        <v>5</v>
      </c>
      <c r="D32" s="3">
        <v>26</v>
      </c>
      <c r="E32" s="3">
        <v>31</v>
      </c>
      <c r="F32" s="3">
        <v>34</v>
      </c>
      <c r="G32" s="3">
        <v>12</v>
      </c>
      <c r="I32">
        <v>39</v>
      </c>
      <c r="J32" t="str">
        <v>36-45</v>
      </c>
      <c r="K32" t="str">
        <v>male</v>
      </c>
      <c r="L32">
        <v>2</v>
      </c>
      <c r="M32" t="str">
        <v>free</v>
      </c>
      <c r="N32" t="str">
        <v>little</v>
      </c>
    </row>
    <row r="33" spans="2:14" x14ac:dyDescent="0.25">
      <c r="B33" s="3" t="str">
        <v>rent</v>
      </c>
      <c r="C33" s="3">
        <v>79</v>
      </c>
      <c r="D33" s="3">
        <v>56</v>
      </c>
      <c r="E33" s="3">
        <v>27</v>
      </c>
      <c r="F33" s="3">
        <v>14</v>
      </c>
      <c r="G33" s="3">
        <v>3</v>
      </c>
      <c r="I33">
        <v>26</v>
      </c>
      <c r="J33" t="str">
        <v>26-35</v>
      </c>
      <c r="K33" t="str">
        <v>female</v>
      </c>
      <c r="L33">
        <v>3</v>
      </c>
      <c r="M33" t="str">
        <v>own</v>
      </c>
      <c r="N33" t="str">
        <v>little</v>
      </c>
    </row>
  </sheetData>
  <mergeCells count="1">
    <mergeCell ref="I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0AC1-9307-4024-B7C9-B45614EE2EE7}">
  <dimension ref="B3:E23"/>
  <sheetViews>
    <sheetView tabSelected="1" topLeftCell="A2" zoomScale="90" zoomScaleNormal="90" workbookViewId="0">
      <selection activeCell="L22" sqref="L22"/>
    </sheetView>
  </sheetViews>
  <sheetFormatPr defaultRowHeight="15" x14ac:dyDescent="0.25"/>
  <cols>
    <col min="2" max="2" width="22.7109375" bestFit="1" customWidth="1"/>
    <col min="3" max="4" width="7.140625" bestFit="1" customWidth="1"/>
    <col min="5" max="5" width="11.28515625" bestFit="1" customWidth="1"/>
  </cols>
  <sheetData>
    <row r="3" spans="2:5" x14ac:dyDescent="0.25">
      <c r="B3" s="11" t="s">
        <v>50</v>
      </c>
      <c r="C3" s="11" t="s">
        <v>27</v>
      </c>
    </row>
    <row r="4" spans="2:5" x14ac:dyDescent="0.25">
      <c r="B4" s="11" t="s">
        <v>1</v>
      </c>
      <c r="C4" t="s">
        <v>41</v>
      </c>
      <c r="D4" t="s">
        <v>42</v>
      </c>
      <c r="E4" t="s">
        <v>40</v>
      </c>
    </row>
    <row r="5" spans="2:5" x14ac:dyDescent="0.25">
      <c r="B5" t="s">
        <v>14</v>
      </c>
      <c r="C5">
        <v>8</v>
      </c>
      <c r="D5">
        <v>302</v>
      </c>
      <c r="E5">
        <v>310</v>
      </c>
    </row>
    <row r="6" spans="2:5" x14ac:dyDescent="0.25">
      <c r="B6" t="s">
        <v>9</v>
      </c>
      <c r="C6">
        <v>21</v>
      </c>
      <c r="D6">
        <v>669</v>
      </c>
      <c r="E6">
        <v>690</v>
      </c>
    </row>
    <row r="7" spans="2:5" x14ac:dyDescent="0.25">
      <c r="B7" t="s">
        <v>40</v>
      </c>
      <c r="C7">
        <v>29</v>
      </c>
      <c r="D7">
        <v>971</v>
      </c>
      <c r="E7">
        <v>1000</v>
      </c>
    </row>
    <row r="9" spans="2:5" x14ac:dyDescent="0.25">
      <c r="B9" s="11" t="s">
        <v>50</v>
      </c>
      <c r="C9" s="11" t="s">
        <v>27</v>
      </c>
    </row>
    <row r="10" spans="2:5" x14ac:dyDescent="0.25">
      <c r="B10" s="11" t="s">
        <v>43</v>
      </c>
      <c r="C10" t="s">
        <v>41</v>
      </c>
      <c r="D10" t="s">
        <v>42</v>
      </c>
      <c r="E10" t="s">
        <v>40</v>
      </c>
    </row>
    <row r="11" spans="2:5" x14ac:dyDescent="0.25">
      <c r="B11" t="s">
        <v>44</v>
      </c>
      <c r="C11" s="18">
        <v>6</v>
      </c>
      <c r="D11" s="18">
        <v>184</v>
      </c>
      <c r="E11" s="18">
        <v>190</v>
      </c>
    </row>
    <row r="12" spans="2:5" x14ac:dyDescent="0.25">
      <c r="B12" t="s">
        <v>47</v>
      </c>
      <c r="C12" s="18">
        <v>11</v>
      </c>
      <c r="D12" s="18">
        <v>387</v>
      </c>
      <c r="E12" s="18">
        <v>398</v>
      </c>
    </row>
    <row r="13" spans="2:5" x14ac:dyDescent="0.25">
      <c r="B13" t="s">
        <v>45</v>
      </c>
      <c r="C13" s="18">
        <v>8</v>
      </c>
      <c r="D13" s="18">
        <v>218</v>
      </c>
      <c r="E13" s="18">
        <v>226</v>
      </c>
    </row>
    <row r="14" spans="2:5" x14ac:dyDescent="0.25">
      <c r="B14" t="s">
        <v>46</v>
      </c>
      <c r="C14" s="18">
        <v>3</v>
      </c>
      <c r="D14" s="18">
        <v>138</v>
      </c>
      <c r="E14" s="18">
        <v>141</v>
      </c>
    </row>
    <row r="15" spans="2:5" x14ac:dyDescent="0.25">
      <c r="B15" t="s">
        <v>48</v>
      </c>
      <c r="C15" s="18">
        <v>1</v>
      </c>
      <c r="D15" s="18">
        <v>44</v>
      </c>
      <c r="E15" s="18">
        <v>45</v>
      </c>
    </row>
    <row r="16" spans="2:5" x14ac:dyDescent="0.25">
      <c r="B16" t="s">
        <v>40</v>
      </c>
      <c r="C16" s="18">
        <v>29</v>
      </c>
      <c r="D16" s="18">
        <v>971</v>
      </c>
      <c r="E16" s="18">
        <v>1000</v>
      </c>
    </row>
    <row r="18" spans="2:5" x14ac:dyDescent="0.25">
      <c r="B18" s="11" t="s">
        <v>50</v>
      </c>
      <c r="C18" s="11" t="s">
        <v>27</v>
      </c>
    </row>
    <row r="19" spans="2:5" x14ac:dyDescent="0.25">
      <c r="B19" s="11" t="s">
        <v>3</v>
      </c>
      <c r="C19" t="s">
        <v>41</v>
      </c>
      <c r="D19" t="s">
        <v>42</v>
      </c>
      <c r="E19" t="s">
        <v>40</v>
      </c>
    </row>
    <row r="20" spans="2:5" x14ac:dyDescent="0.25">
      <c r="B20" t="s">
        <v>17</v>
      </c>
      <c r="C20">
        <v>6</v>
      </c>
      <c r="D20">
        <v>102</v>
      </c>
      <c r="E20">
        <v>108</v>
      </c>
    </row>
    <row r="21" spans="2:5" x14ac:dyDescent="0.25">
      <c r="B21" t="s">
        <v>10</v>
      </c>
      <c r="C21">
        <v>19</v>
      </c>
      <c r="D21">
        <v>694</v>
      </c>
      <c r="E21">
        <v>713</v>
      </c>
    </row>
    <row r="22" spans="2:5" x14ac:dyDescent="0.25">
      <c r="B22" t="s">
        <v>21</v>
      </c>
      <c r="C22">
        <v>4</v>
      </c>
      <c r="D22">
        <v>175</v>
      </c>
      <c r="E22">
        <v>179</v>
      </c>
    </row>
    <row r="23" spans="2:5" x14ac:dyDescent="0.25">
      <c r="B23" t="s">
        <v>40</v>
      </c>
      <c r="C23">
        <v>29</v>
      </c>
      <c r="D23">
        <v>971</v>
      </c>
      <c r="E23">
        <v>1000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329FD6-5B84-4BF2-BE16-BC94D1C6B0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german_credit_data</vt:lpstr>
      <vt:lpstr>Functions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Raissa Alcantara</dc:creator>
  <cp:lastModifiedBy>Raissa Alcantara</cp:lastModifiedBy>
  <dcterms:created xsi:type="dcterms:W3CDTF">2025-11-09T14:25:01Z</dcterms:created>
  <dcterms:modified xsi:type="dcterms:W3CDTF">2025-11-09T20:44:35Z</dcterms:modified>
</cp:coreProperties>
</file>